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nivtlnfr-my.sharepoint.com/personal/richier_univ-tln_fr/Documents/2_Enseignements/1_GIM/Hypperplanning/GestionEDT/"/>
    </mc:Choice>
  </mc:AlternateContent>
  <xr:revisionPtr revIDLastSave="136" documentId="8_{1974BB8D-BB8B-491A-9C1E-39A7DEDCCC47}" xr6:coauthVersionLast="47" xr6:coauthVersionMax="47" xr10:uidLastSave="{FF86F5F0-8D41-4E7D-9577-D33406AB0AA6}"/>
  <bookViews>
    <workbookView xWindow="-120" yWindow="-120" windowWidth="29040" windowHeight="15720" tabRatio="439" activeTab="1" xr2:uid="{EF149F33-1108-48F4-8F45-61A85D4EC09B}"/>
  </bookViews>
  <sheets>
    <sheet name="S1+S2" sheetId="1" r:id="rId1"/>
    <sheet name="S3+S4" sheetId="4" r:id="rId2"/>
    <sheet name="S5+S6" sheetId="3" r:id="rId3"/>
    <sheet name="Contact Vacataire" sheetId="6" r:id="rId4"/>
    <sheet name="Dispo" sheetId="7" r:id="rId5"/>
    <sheet name="Notes" sheetId="8" r:id="rId6"/>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4" l="1"/>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H84" i="1"/>
  <c r="H83" i="1"/>
  <c r="D84" i="1"/>
  <c r="D83" i="1"/>
  <c r="D82" i="1"/>
  <c r="H82" i="1"/>
  <c r="H66" i="4"/>
  <c r="D66" i="4"/>
  <c r="H88" i="3" l="1"/>
  <c r="H87" i="3"/>
  <c r="AS5" i="4"/>
  <c r="BB5" i="4"/>
  <c r="BA5" i="4"/>
  <c r="AZ5" i="4"/>
  <c r="AY5" i="4"/>
  <c r="AX5" i="4"/>
  <c r="AW5" i="4"/>
  <c r="AV5" i="4"/>
  <c r="AU5" i="4"/>
  <c r="AT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BB4" i="4"/>
  <c r="BA4" i="4"/>
  <c r="AZ4" i="4"/>
  <c r="AY4" i="4"/>
  <c r="AX4" i="4"/>
  <c r="AW4" i="4"/>
  <c r="AV4" i="4"/>
  <c r="AU4" i="4"/>
  <c r="AT4" i="4"/>
  <c r="AS4" i="4"/>
  <c r="AR4" i="4"/>
  <c r="AQ4" i="4"/>
  <c r="AP4" i="4"/>
  <c r="AO4" i="4"/>
  <c r="AN4" i="4"/>
  <c r="AM4" i="4"/>
  <c r="AL4" i="4"/>
  <c r="AK4" i="4"/>
  <c r="AJ4" i="4"/>
  <c r="AI4" i="4"/>
  <c r="AH4" i="4"/>
  <c r="AG4" i="4"/>
  <c r="AF4" i="4"/>
  <c r="AE4" i="4"/>
  <c r="AD4" i="4"/>
  <c r="AC4" i="4"/>
  <c r="AB4" i="4"/>
  <c r="AA4" i="4"/>
  <c r="Z4" i="4"/>
  <c r="Y4" i="4"/>
  <c r="X4" i="4"/>
  <c r="W4" i="4"/>
  <c r="V4" i="4"/>
  <c r="U4" i="4"/>
  <c r="T4" i="4"/>
  <c r="S4" i="4"/>
  <c r="R4" i="4"/>
  <c r="Q4" i="4"/>
  <c r="P4" i="4"/>
  <c r="O4" i="4"/>
  <c r="N4" i="4"/>
  <c r="M4" i="4"/>
  <c r="L4" i="4"/>
  <c r="K5" i="4"/>
  <c r="K4" i="4"/>
  <c r="H193" i="4"/>
  <c r="D193" i="4"/>
  <c r="H192" i="4"/>
  <c r="D192" i="4"/>
  <c r="H191" i="4"/>
  <c r="D191" i="4"/>
  <c r="H190" i="4"/>
  <c r="D190" i="4"/>
  <c r="H189" i="4"/>
  <c r="D189" i="4"/>
  <c r="H188" i="4"/>
  <c r="D188" i="4"/>
  <c r="H187" i="4"/>
  <c r="D187" i="4"/>
  <c r="H186" i="4"/>
  <c r="D186" i="4"/>
  <c r="H185" i="4"/>
  <c r="D185" i="4"/>
  <c r="H184" i="4"/>
  <c r="D184" i="4"/>
  <c r="H183" i="4"/>
  <c r="D183" i="4"/>
  <c r="H182" i="4"/>
  <c r="D182" i="4"/>
  <c r="H181" i="4"/>
  <c r="D181" i="4"/>
  <c r="H180" i="4"/>
  <c r="D180" i="4"/>
  <c r="H179" i="4"/>
  <c r="D179" i="4"/>
  <c r="H178" i="4"/>
  <c r="D178" i="4"/>
  <c r="H177" i="4"/>
  <c r="D177" i="4"/>
  <c r="H176" i="4"/>
  <c r="D176" i="4"/>
  <c r="H175" i="4"/>
  <c r="D175" i="4"/>
  <c r="H174" i="4"/>
  <c r="D174" i="4"/>
  <c r="H173" i="4"/>
  <c r="D173" i="4"/>
  <c r="H172" i="4"/>
  <c r="D172" i="4"/>
  <c r="H171" i="4"/>
  <c r="D171" i="4"/>
  <c r="H170" i="4"/>
  <c r="D170" i="4"/>
  <c r="H169" i="4"/>
  <c r="D169" i="4"/>
  <c r="H168" i="4"/>
  <c r="D168" i="4"/>
  <c r="H167" i="4"/>
  <c r="D167" i="4"/>
  <c r="H166" i="4"/>
  <c r="D166" i="4"/>
  <c r="H165" i="4"/>
  <c r="D165" i="4"/>
  <c r="H164" i="4"/>
  <c r="D164" i="4"/>
  <c r="H163" i="4"/>
  <c r="D163" i="4"/>
  <c r="H162" i="4"/>
  <c r="D162" i="4"/>
  <c r="H161" i="4"/>
  <c r="D161" i="4"/>
  <c r="H160" i="4"/>
  <c r="D160" i="4"/>
  <c r="H159" i="4"/>
  <c r="D159" i="4"/>
  <c r="H158" i="4"/>
  <c r="D158" i="4"/>
  <c r="H157" i="4"/>
  <c r="D157" i="4"/>
  <c r="H156" i="4"/>
  <c r="D156" i="4"/>
  <c r="H155" i="4"/>
  <c r="D155" i="4"/>
  <c r="H154" i="4"/>
  <c r="D154" i="4"/>
  <c r="H153" i="4"/>
  <c r="D153" i="4"/>
  <c r="H152" i="4"/>
  <c r="D152" i="4"/>
  <c r="H151" i="4"/>
  <c r="D151" i="4"/>
  <c r="H150" i="4"/>
  <c r="D150" i="4"/>
  <c r="H149" i="4"/>
  <c r="D149" i="4"/>
  <c r="H148" i="4"/>
  <c r="D148" i="4"/>
  <c r="H147" i="4"/>
  <c r="D147" i="4"/>
  <c r="H146" i="4"/>
  <c r="D146" i="4"/>
  <c r="H145" i="4"/>
  <c r="D145" i="4"/>
  <c r="H144" i="4"/>
  <c r="D144" i="4"/>
  <c r="H143" i="4"/>
  <c r="D143" i="4"/>
  <c r="H142" i="4"/>
  <c r="D142" i="4"/>
  <c r="H141" i="4"/>
  <c r="D141" i="4"/>
  <c r="H140" i="4"/>
  <c r="D140" i="4"/>
  <c r="H139" i="4"/>
  <c r="D139" i="4"/>
  <c r="H138" i="4"/>
  <c r="D138" i="4"/>
  <c r="H137" i="4"/>
  <c r="D137" i="4"/>
  <c r="H136" i="4"/>
  <c r="D136" i="4"/>
  <c r="H135" i="4"/>
  <c r="D135" i="4"/>
  <c r="H134" i="4"/>
  <c r="D134" i="4"/>
  <c r="H133" i="4"/>
  <c r="D133" i="4"/>
  <c r="H132" i="4"/>
  <c r="D132" i="4"/>
  <c r="H131" i="4"/>
  <c r="D131" i="4"/>
  <c r="H130" i="4"/>
  <c r="D130" i="4"/>
  <c r="H129" i="4"/>
  <c r="D129" i="4"/>
  <c r="H128" i="4"/>
  <c r="D128" i="4"/>
  <c r="H127" i="4"/>
  <c r="D127" i="4"/>
  <c r="H126" i="4"/>
  <c r="D126" i="4"/>
  <c r="H125" i="4"/>
  <c r="D125" i="4"/>
  <c r="H124" i="4"/>
  <c r="D124" i="4"/>
  <c r="H123" i="4"/>
  <c r="D123" i="4"/>
  <c r="H122" i="4"/>
  <c r="D122" i="4"/>
  <c r="BB5" i="1"/>
  <c r="BA5" i="1"/>
  <c r="AZ5" i="1"/>
  <c r="AY5" i="1"/>
  <c r="AX5" i="1"/>
  <c r="AW5" i="1"/>
  <c r="AV5" i="1"/>
  <c r="AU5" i="1"/>
  <c r="AT5" i="1"/>
  <c r="AS5" i="1"/>
  <c r="AR5" i="1"/>
  <c r="AQ5" i="1"/>
  <c r="AP5" i="1"/>
  <c r="AO5" i="1"/>
  <c r="AN5" i="1"/>
  <c r="AM5" i="1"/>
  <c r="AL5" i="1"/>
  <c r="AK5" i="1"/>
  <c r="AJ5" i="1"/>
  <c r="AI5" i="1"/>
  <c r="AH5" i="1"/>
  <c r="AG5" i="1"/>
  <c r="AF5" i="1"/>
  <c r="AE5" i="1"/>
  <c r="AD5" i="1"/>
  <c r="AC5" i="1"/>
  <c r="AB5" i="1"/>
  <c r="AA5" i="1"/>
  <c r="Z5" i="1"/>
  <c r="Y5" i="1"/>
  <c r="X5" i="1"/>
  <c r="W5" i="1"/>
  <c r="V5" i="1"/>
  <c r="U5" i="1"/>
  <c r="T5" i="1"/>
  <c r="S5" i="1"/>
  <c r="R5" i="1"/>
  <c r="Q5" i="1"/>
  <c r="P5" i="1"/>
  <c r="O5" i="1"/>
  <c r="N5" i="1"/>
  <c r="M5" i="1"/>
  <c r="L5" i="1"/>
  <c r="K5" i="1"/>
  <c r="BB4" i="1"/>
  <c r="BA4" i="1"/>
  <c r="AZ4" i="1"/>
  <c r="AY4" i="1"/>
  <c r="AX4" i="1"/>
  <c r="AW4" i="1"/>
  <c r="AV4" i="1"/>
  <c r="AU4" i="1"/>
  <c r="AT4" i="1"/>
  <c r="AS4" i="1"/>
  <c r="AR4" i="1"/>
  <c r="AQ4" i="1"/>
  <c r="AP4" i="1"/>
  <c r="AO4" i="1"/>
  <c r="AN4" i="1"/>
  <c r="AM4" i="1"/>
  <c r="AL4" i="1"/>
  <c r="AK4" i="1"/>
  <c r="AJ4" i="1"/>
  <c r="AI4" i="1"/>
  <c r="AH4" i="1"/>
  <c r="AG4" i="1"/>
  <c r="AF4" i="1"/>
  <c r="AE4" i="1"/>
  <c r="AD4" i="1"/>
  <c r="AC4" i="1"/>
  <c r="AB4" i="1"/>
  <c r="AA4" i="1"/>
  <c r="Z4" i="1"/>
  <c r="Y4" i="1"/>
  <c r="X4" i="1"/>
  <c r="W4" i="1"/>
  <c r="V4" i="1"/>
  <c r="U4" i="1"/>
  <c r="T4" i="1"/>
  <c r="S4" i="1"/>
  <c r="R4" i="1"/>
  <c r="Q4" i="1"/>
  <c r="P4" i="1"/>
  <c r="O4" i="1"/>
  <c r="N4" i="1"/>
  <c r="M4" i="1"/>
  <c r="L4" i="1"/>
  <c r="K4" i="1"/>
  <c r="H205" i="1"/>
  <c r="D205" i="1"/>
  <c r="H204" i="1"/>
  <c r="D204" i="1"/>
  <c r="H203" i="1"/>
  <c r="D203" i="1"/>
  <c r="H202" i="1"/>
  <c r="D202" i="1"/>
  <c r="H201" i="1"/>
  <c r="D201" i="1"/>
  <c r="H200" i="1"/>
  <c r="D200" i="1"/>
  <c r="H199" i="1"/>
  <c r="D199" i="1"/>
  <c r="H198" i="1"/>
  <c r="D198" i="1"/>
  <c r="H197" i="1"/>
  <c r="D197" i="1"/>
  <c r="H196" i="1"/>
  <c r="D196" i="1"/>
  <c r="H195" i="1"/>
  <c r="D195" i="1"/>
  <c r="H194" i="1"/>
  <c r="D194" i="1"/>
  <c r="H193" i="1"/>
  <c r="D193" i="1"/>
  <c r="H192" i="1"/>
  <c r="D192" i="1"/>
  <c r="H191" i="1"/>
  <c r="D191" i="1"/>
  <c r="H190" i="1"/>
  <c r="D190" i="1"/>
  <c r="H189" i="1"/>
  <c r="D189" i="1"/>
  <c r="H188" i="1"/>
  <c r="D188" i="1"/>
  <c r="H187" i="1"/>
  <c r="D187" i="1"/>
  <c r="H186" i="1"/>
  <c r="D186" i="1"/>
  <c r="H185" i="1"/>
  <c r="D185" i="1"/>
  <c r="H184" i="1"/>
  <c r="D184" i="1"/>
  <c r="H183" i="1"/>
  <c r="D183" i="1"/>
  <c r="H182" i="1"/>
  <c r="D182" i="1"/>
  <c r="H181" i="1"/>
  <c r="D181" i="1"/>
  <c r="H180" i="1"/>
  <c r="D180" i="1"/>
  <c r="H179" i="1"/>
  <c r="D179" i="1"/>
  <c r="H178" i="1"/>
  <c r="D178" i="1"/>
  <c r="H177" i="1"/>
  <c r="D177" i="1"/>
  <c r="H176" i="1"/>
  <c r="D176" i="1"/>
  <c r="H175" i="1"/>
  <c r="D175" i="1"/>
  <c r="H174" i="1"/>
  <c r="D174" i="1"/>
  <c r="H173" i="1"/>
  <c r="D173" i="1"/>
  <c r="H172" i="1"/>
  <c r="D172" i="1"/>
  <c r="H171" i="1"/>
  <c r="D171" i="1"/>
  <c r="H170" i="1"/>
  <c r="D170" i="1"/>
  <c r="H169" i="1"/>
  <c r="D169" i="1"/>
  <c r="H168" i="1"/>
  <c r="D168" i="1"/>
  <c r="H167" i="1"/>
  <c r="D167" i="1"/>
  <c r="H166" i="1"/>
  <c r="D166" i="1"/>
  <c r="H165" i="1"/>
  <c r="D165" i="1"/>
  <c r="H164" i="1"/>
  <c r="D164" i="1"/>
  <c r="H163" i="1"/>
  <c r="D163" i="1"/>
  <c r="H162" i="1"/>
  <c r="D162" i="1"/>
  <c r="H161" i="1"/>
  <c r="D161" i="1"/>
  <c r="H160" i="1"/>
  <c r="D160" i="1"/>
  <c r="H159" i="1"/>
  <c r="D159" i="1"/>
  <c r="H158" i="1"/>
  <c r="D158" i="1"/>
  <c r="H157" i="1"/>
  <c r="D157" i="1"/>
  <c r="H156" i="1"/>
  <c r="D156" i="1"/>
  <c r="H155" i="1"/>
  <c r="D155" i="1"/>
  <c r="H154" i="1"/>
  <c r="D154" i="1"/>
  <c r="H153" i="1"/>
  <c r="D153" i="1"/>
  <c r="H152" i="1"/>
  <c r="D152" i="1"/>
  <c r="H151" i="1"/>
  <c r="D151" i="1"/>
  <c r="H150" i="1"/>
  <c r="D150" i="1"/>
  <c r="H149" i="1"/>
  <c r="D149" i="1"/>
  <c r="H148" i="1"/>
  <c r="D148" i="1"/>
  <c r="H147" i="1"/>
  <c r="D147" i="1"/>
  <c r="H146" i="1"/>
  <c r="D146" i="1"/>
  <c r="H145" i="1"/>
  <c r="D145" i="1"/>
  <c r="H144" i="1"/>
  <c r="D144" i="1"/>
  <c r="H143" i="1"/>
  <c r="D143" i="1"/>
  <c r="H142" i="1"/>
  <c r="D142" i="1"/>
  <c r="H141" i="1"/>
  <c r="D141" i="1"/>
  <c r="H140" i="1"/>
  <c r="D140" i="1"/>
  <c r="H139" i="1"/>
  <c r="D139" i="1"/>
  <c r="H138" i="1"/>
  <c r="D138" i="1"/>
  <c r="H137" i="1"/>
  <c r="D137" i="1"/>
  <c r="H136" i="1"/>
  <c r="D136" i="1"/>
  <c r="H135" i="1"/>
  <c r="D135" i="1"/>
  <c r="H134" i="1"/>
  <c r="D134" i="1"/>
  <c r="H133" i="1"/>
  <c r="D133" i="1"/>
  <c r="H132" i="1"/>
  <c r="D132" i="1"/>
  <c r="H131" i="1"/>
  <c r="D131" i="1"/>
  <c r="H130" i="1"/>
  <c r="D130" i="1"/>
  <c r="H129" i="1"/>
  <c r="D129" i="1"/>
  <c r="H128" i="1"/>
  <c r="D128" i="1"/>
  <c r="H127" i="1"/>
  <c r="D127" i="1"/>
  <c r="H126" i="1"/>
  <c r="D126" i="1"/>
  <c r="H125" i="1"/>
  <c r="D125" i="1"/>
  <c r="H124" i="1"/>
  <c r="D124" i="1"/>
  <c r="H123" i="1"/>
  <c r="D123" i="1"/>
  <c r="H122" i="1"/>
  <c r="D122" i="1"/>
  <c r="H121" i="1"/>
  <c r="D121" i="1"/>
  <c r="H120" i="1"/>
  <c r="D120" i="1"/>
  <c r="H119" i="1"/>
  <c r="D119" i="1"/>
  <c r="H118" i="1"/>
  <c r="D118" i="1"/>
  <c r="H117" i="1"/>
  <c r="D117" i="1"/>
  <c r="H116" i="1"/>
  <c r="D116" i="1"/>
  <c r="H115" i="1"/>
  <c r="D115" i="1"/>
  <c r="H114" i="1"/>
  <c r="D114" i="1"/>
  <c r="H113" i="1"/>
  <c r="D113" i="1"/>
  <c r="H112" i="1"/>
  <c r="D112" i="1"/>
  <c r="H111" i="1"/>
  <c r="D111" i="1"/>
  <c r="H109" i="1"/>
  <c r="D109" i="1"/>
  <c r="H108" i="1"/>
  <c r="D108" i="1"/>
  <c r="H107" i="1"/>
  <c r="H106" i="1"/>
  <c r="H105" i="1"/>
  <c r="H104" i="1"/>
  <c r="H103" i="1"/>
  <c r="H102" i="1"/>
  <c r="H101" i="1"/>
  <c r="H100" i="1"/>
  <c r="H99" i="1"/>
  <c r="H98" i="1"/>
  <c r="H97" i="1"/>
  <c r="H96" i="1"/>
  <c r="H95" i="1"/>
  <c r="H94" i="1"/>
  <c r="H93" i="1"/>
  <c r="H91" i="1"/>
  <c r="H90" i="1"/>
  <c r="H89" i="1"/>
  <c r="H88" i="1"/>
  <c r="H87" i="1"/>
  <c r="H86" i="1"/>
  <c r="H85"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G4" i="3" l="1"/>
  <c r="G5"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120" i="4"/>
  <c r="H119" i="4"/>
  <c r="H118" i="4"/>
  <c r="H117" i="4"/>
  <c r="H116" i="4"/>
  <c r="H115" i="4"/>
  <c r="H114" i="4"/>
  <c r="H113" i="4"/>
  <c r="H112" i="4"/>
  <c r="H111" i="4"/>
  <c r="H110" i="4"/>
  <c r="H109" i="4"/>
  <c r="H108" i="4"/>
  <c r="H107" i="4"/>
  <c r="H106" i="4"/>
  <c r="H105" i="4"/>
  <c r="H104" i="4"/>
  <c r="H103" i="4"/>
  <c r="H102" i="4"/>
  <c r="H101" i="4"/>
  <c r="H100" i="4"/>
  <c r="H99" i="4"/>
  <c r="H98" i="4"/>
  <c r="H97" i="4"/>
  <c r="H96" i="4"/>
  <c r="H95" i="4"/>
  <c r="H94" i="4"/>
  <c r="H93" i="4"/>
  <c r="H92" i="4"/>
  <c r="H91" i="4"/>
  <c r="H90" i="4"/>
  <c r="H89" i="4"/>
  <c r="H88" i="4"/>
  <c r="H87" i="4"/>
  <c r="H86" i="4"/>
  <c r="H85" i="4"/>
  <c r="H84" i="4"/>
  <c r="H83" i="4"/>
  <c r="H82" i="4"/>
  <c r="H81" i="4"/>
  <c r="H80" i="4"/>
  <c r="H79" i="4"/>
  <c r="H78" i="4"/>
  <c r="H77" i="4"/>
  <c r="H76" i="4"/>
  <c r="H75" i="4"/>
  <c r="H74" i="4"/>
  <c r="H73" i="4"/>
  <c r="H72" i="4"/>
  <c r="H71" i="4"/>
  <c r="H70" i="4"/>
  <c r="H69" i="4"/>
  <c r="H68" i="4"/>
  <c r="H67"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3" i="4"/>
  <c r="H12" i="4"/>
  <c r="H11" i="4"/>
  <c r="H10" i="4"/>
  <c r="H9" i="4"/>
  <c r="H8" i="4"/>
  <c r="H7" i="4"/>
  <c r="BB5" i="3" l="1"/>
  <c r="BA5" i="3"/>
  <c r="AZ5" i="3"/>
  <c r="AY5" i="3"/>
  <c r="AX5" i="3"/>
  <c r="AW5" i="3"/>
  <c r="AV5" i="3"/>
  <c r="AU5" i="3"/>
  <c r="AT5" i="3"/>
  <c r="AS5" i="3"/>
  <c r="AR5" i="3"/>
  <c r="AQ5" i="3"/>
  <c r="AP5" i="3"/>
  <c r="AO5" i="3"/>
  <c r="AN5" i="3"/>
  <c r="AM5" i="3"/>
  <c r="AL5" i="3"/>
  <c r="AK5" i="3"/>
  <c r="AJ5" i="3"/>
  <c r="AI5" i="3"/>
  <c r="AH5" i="3"/>
  <c r="AG5" i="3"/>
  <c r="AF5" i="3"/>
  <c r="AE5" i="3"/>
  <c r="AD5" i="3"/>
  <c r="AC5" i="3"/>
  <c r="AB5" i="3"/>
  <c r="AA5" i="3"/>
  <c r="Z5" i="3"/>
  <c r="Y5" i="3"/>
  <c r="X5" i="3"/>
  <c r="W5" i="3"/>
  <c r="V5" i="3"/>
  <c r="U5" i="3"/>
  <c r="T5" i="3"/>
  <c r="S5" i="3"/>
  <c r="R5" i="3"/>
  <c r="Q5" i="3"/>
  <c r="P5" i="3"/>
  <c r="O5" i="3"/>
  <c r="N5" i="3"/>
  <c r="M5" i="3"/>
  <c r="L5" i="3"/>
  <c r="BB4" i="3"/>
  <c r="BA4" i="3"/>
  <c r="AZ4" i="3"/>
  <c r="AY4" i="3"/>
  <c r="AX4" i="3"/>
  <c r="AW4" i="3"/>
  <c r="AV4" i="3"/>
  <c r="AU4" i="3"/>
  <c r="AT4" i="3"/>
  <c r="AS4" i="3"/>
  <c r="AR4" i="3"/>
  <c r="AQ4" i="3"/>
  <c r="AP4" i="3"/>
  <c r="AO4" i="3"/>
  <c r="AN4" i="3"/>
  <c r="AM4" i="3"/>
  <c r="AL4" i="3"/>
  <c r="AK4" i="3"/>
  <c r="AJ4" i="3"/>
  <c r="AI4" i="3"/>
  <c r="AH4" i="3"/>
  <c r="AG4" i="3"/>
  <c r="AF4" i="3"/>
  <c r="AE4" i="3"/>
  <c r="AD4" i="3"/>
  <c r="AC4" i="3"/>
  <c r="AB4" i="3"/>
  <c r="AA4" i="3"/>
  <c r="Z4" i="3"/>
  <c r="Y4" i="3"/>
  <c r="X4" i="3"/>
  <c r="W4" i="3"/>
  <c r="V4" i="3"/>
  <c r="U4" i="3"/>
  <c r="T4" i="3"/>
  <c r="S4" i="3"/>
  <c r="R4" i="3"/>
  <c r="Q4" i="3"/>
  <c r="P4" i="3"/>
  <c r="O4" i="3"/>
  <c r="N4" i="3"/>
  <c r="M4" i="3"/>
  <c r="L4" i="3"/>
  <c r="K5" i="3"/>
  <c r="K4" i="3"/>
  <c r="G5" i="4"/>
  <c r="G4" i="4"/>
  <c r="H4" i="3" l="1"/>
  <c r="H5" i="3"/>
  <c r="G4" i="1"/>
  <c r="G5" i="1"/>
  <c r="D6" i="3" l="1"/>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H6" i="4"/>
  <c r="D6" i="4"/>
  <c r="D107" i="1"/>
  <c r="D106" i="1"/>
  <c r="D105" i="1"/>
  <c r="D104" i="1"/>
  <c r="D103" i="1"/>
  <c r="D102" i="1"/>
  <c r="D101" i="1"/>
  <c r="D100" i="1"/>
  <c r="D99" i="1"/>
  <c r="D98" i="1"/>
  <c r="D97" i="1"/>
  <c r="D96" i="1"/>
  <c r="D95" i="1"/>
  <c r="D94" i="1"/>
  <c r="D93" i="1"/>
  <c r="H92" i="1"/>
  <c r="D92" i="1"/>
  <c r="D91" i="1"/>
  <c r="D90" i="1"/>
  <c r="D89" i="1"/>
  <c r="D88" i="1"/>
  <c r="D87" i="1"/>
  <c r="D86" i="1"/>
  <c r="D85"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H5" i="4" l="1"/>
  <c r="H5" i="1"/>
  <c r="H4" i="1"/>
  <c r="H4" i="4"/>
</calcChain>
</file>

<file path=xl/sharedStrings.xml><?xml version="1.0" encoding="utf-8"?>
<sst xmlns="http://schemas.openxmlformats.org/spreadsheetml/2006/main" count="1718" uniqueCount="459">
  <si>
    <t>S1</t>
  </si>
  <si>
    <t>Matières</t>
  </si>
  <si>
    <t>Enseignants</t>
  </si>
  <si>
    <t>NB séances</t>
  </si>
  <si>
    <t>0:FTP,1:ALT,2:MUT</t>
  </si>
  <si>
    <t>Programme</t>
  </si>
  <si>
    <t>Diff</t>
  </si>
  <si>
    <t>rentrée lundi 01/09</t>
  </si>
  <si>
    <t xml:space="preserve"> Vacances Toussaint</t>
  </si>
  <si>
    <t xml:space="preserve"> du S 18/10 au L 3/11</t>
  </si>
  <si>
    <t>vacances noel</t>
  </si>
  <si>
    <t>Du S 20/12/25 au L 05/01 /26</t>
  </si>
  <si>
    <t>Fin S1</t>
  </si>
  <si>
    <t>Début S2</t>
  </si>
  <si>
    <t>vacances février</t>
  </si>
  <si>
    <t>du S 14/2/26 au L 27/04/26</t>
  </si>
  <si>
    <t>vacances printemps</t>
  </si>
  <si>
    <t>du S 11/04/26 au mar 22/4/25</t>
  </si>
  <si>
    <t>Vendredi 1/5/26 férié</t>
  </si>
  <si>
    <t>Vendredi  8/5/26 férié</t>
  </si>
  <si>
    <t>pont ascension du J 14/05 au L 18/05</t>
  </si>
  <si>
    <t>Lundi 25 férié</t>
  </si>
  <si>
    <t>FTPn des cours le S 20/06</t>
  </si>
  <si>
    <t>vacances samedi 04/07</t>
  </si>
  <si>
    <t>n° sem BUT</t>
  </si>
  <si>
    <t>n° sem calend</t>
  </si>
  <si>
    <t>Commentaires</t>
  </si>
  <si>
    <t>Nb heures FTP et ALT</t>
  </si>
  <si>
    <t>Salle</t>
  </si>
  <si>
    <t>PROMO</t>
  </si>
  <si>
    <t>R1.01</t>
  </si>
  <si>
    <t>Math 1</t>
  </si>
  <si>
    <t>SUCHEY</t>
  </si>
  <si>
    <t>CM</t>
  </si>
  <si>
    <t>STD</t>
  </si>
  <si>
    <t>FTP</t>
  </si>
  <si>
    <t>TD</t>
  </si>
  <si>
    <t>ALT</t>
  </si>
  <si>
    <t>LAFONT</t>
  </si>
  <si>
    <t>TP 12</t>
  </si>
  <si>
    <t>R1.02</t>
  </si>
  <si>
    <t>Info 1</t>
  </si>
  <si>
    <t>R1.03</t>
  </si>
  <si>
    <t>Méca 1</t>
  </si>
  <si>
    <t>RICHIER</t>
  </si>
  <si>
    <t>BOTTIN</t>
  </si>
  <si>
    <t>R1.04</t>
  </si>
  <si>
    <t>Génie élec 1</t>
  </si>
  <si>
    <t>KAROSKI (GEII)</t>
  </si>
  <si>
    <t>R1.05</t>
  </si>
  <si>
    <t>Techno méca&amp;flu 1</t>
  </si>
  <si>
    <t>REYNAUD</t>
  </si>
  <si>
    <t>3 TP usinage 2 TP soudure + 1 pour TP8</t>
  </si>
  <si>
    <t>TP 8</t>
  </si>
  <si>
    <t>SOREL</t>
  </si>
  <si>
    <t>R1.06</t>
  </si>
  <si>
    <t>Elec&amp;Auto indus 1</t>
  </si>
  <si>
    <t>ICHANSON</t>
  </si>
  <si>
    <t>R1.07</t>
  </si>
  <si>
    <t>Méthodes maint</t>
  </si>
  <si>
    <t>JOFFRE</t>
  </si>
  <si>
    <t>TP en salle 123</t>
  </si>
  <si>
    <t>R1.08</t>
  </si>
  <si>
    <t>Orga syst indus</t>
  </si>
  <si>
    <t>R1.09</t>
  </si>
  <si>
    <t>TEC 1</t>
  </si>
  <si>
    <t>BOURIB</t>
  </si>
  <si>
    <t>TP à placer en fonction des dispos qu'elle n'a pas,</t>
  </si>
  <si>
    <t>R1.10</t>
  </si>
  <si>
    <t>Anglais 1</t>
  </si>
  <si>
    <t>GINES</t>
  </si>
  <si>
    <t>R1.11</t>
  </si>
  <si>
    <t>PPP 1</t>
  </si>
  <si>
    <t>SIACCHITANO</t>
  </si>
  <si>
    <t>MUT</t>
  </si>
  <si>
    <t>SENISAR</t>
  </si>
  <si>
    <t>SAE1.1</t>
  </si>
  <si>
    <t>EOEM exécuter opé élé maintena</t>
  </si>
  <si>
    <t>PT</t>
  </si>
  <si>
    <t>SAE1.2</t>
  </si>
  <si>
    <t>RACM     rempl élément changt mod</t>
  </si>
  <si>
    <t>grouoper les TP du même groupe sur une meme journée ou à la suite et idem pour S2</t>
  </si>
  <si>
    <t>SAE1.3</t>
  </si>
  <si>
    <t>PIE    préparer instal équipemen</t>
  </si>
  <si>
    <t>SAE1.4</t>
  </si>
  <si>
    <t>ICO      identiFTPer contrainte org</t>
  </si>
  <si>
    <t>?</t>
  </si>
  <si>
    <t>SAE1.5</t>
  </si>
  <si>
    <t>ERIS    evaluer risque inter</t>
  </si>
  <si>
    <t>COURTOIS</t>
  </si>
  <si>
    <t>TP12</t>
  </si>
  <si>
    <t>SAE1.6</t>
  </si>
  <si>
    <t>portfolio</t>
  </si>
  <si>
    <t>AaR</t>
  </si>
  <si>
    <t>Semestre 2</t>
  </si>
  <si>
    <t>R2.01</t>
  </si>
  <si>
    <t>Math 2</t>
  </si>
  <si>
    <t>ALLEMANT</t>
  </si>
  <si>
    <t>ok</t>
  </si>
  <si>
    <t>TP</t>
  </si>
  <si>
    <t>R2.02</t>
  </si>
  <si>
    <t>Info 2</t>
  </si>
  <si>
    <t>1,5TD puis séance de 3h pour Gilles en salle 126</t>
  </si>
  <si>
    <t>R2.03</t>
  </si>
  <si>
    <t>Méca 2</t>
  </si>
  <si>
    <t xml:space="preserve">
RICHIER</t>
  </si>
  <si>
    <t xml:space="preserve">
Reynaud</t>
  </si>
  <si>
    <t>R2.04</t>
  </si>
  <si>
    <t>Génie élec 2</t>
  </si>
  <si>
    <t>FORMANN</t>
  </si>
  <si>
    <t>R2.05</t>
  </si>
  <si>
    <t>Energie-Fluides-Thermique 2</t>
  </si>
  <si>
    <t>R2.06</t>
  </si>
  <si>
    <t>Techno méca&amp;flu 2</t>
  </si>
  <si>
    <t>R2.07</t>
  </si>
  <si>
    <t>Elec&amp;Auto indus 2</t>
  </si>
  <si>
    <t>R2.08</t>
  </si>
  <si>
    <t>R2.09</t>
  </si>
  <si>
    <t>Habilitation electrique</t>
  </si>
  <si>
    <t>R2.10</t>
  </si>
  <si>
    <t>TEC 2</t>
  </si>
  <si>
    <t>R2.11</t>
  </si>
  <si>
    <t>Anglais 2</t>
  </si>
  <si>
    <t>CASIMIRI</t>
  </si>
  <si>
    <t>R2.12</t>
  </si>
  <si>
    <t>PPP 2</t>
  </si>
  <si>
    <t>SAE2.1</t>
  </si>
  <si>
    <t>ident &amp; réal opé élé main</t>
  </si>
  <si>
    <t>SAE2.2</t>
  </si>
  <si>
    <t>valider remplac élé syst</t>
  </si>
  <si>
    <t>SAE2.3</t>
  </si>
  <si>
    <t>réal &amp; vérif raccordement</t>
  </si>
  <si>
    <t>SAE2.4</t>
  </si>
  <si>
    <t>SAE2.5</t>
  </si>
  <si>
    <t>SAE2.6</t>
  </si>
  <si>
    <t>Mathieu</t>
  </si>
  <si>
    <t>S3</t>
  </si>
  <si>
    <t>Nb Séances</t>
  </si>
  <si>
    <t>Code FTP/ALT</t>
  </si>
  <si>
    <t>Nb heures</t>
  </si>
  <si>
    <t>Promo</t>
  </si>
  <si>
    <t>R3.01</t>
  </si>
  <si>
    <t>Math 3</t>
  </si>
  <si>
    <t>CHASSEREAU-DENIS</t>
  </si>
  <si>
    <t>modifier hoarire pour fiinr le semaestre à temps</t>
  </si>
  <si>
    <t>R3.02</t>
  </si>
  <si>
    <t>Info 3</t>
  </si>
  <si>
    <t>Lafont</t>
  </si>
  <si>
    <t>R3.03</t>
  </si>
  <si>
    <t>Méca 3</t>
  </si>
  <si>
    <t>MARCON</t>
  </si>
  <si>
    <t>R3.04</t>
  </si>
  <si>
    <t>Génie élec 3</t>
  </si>
  <si>
    <t>rajouter deux séances TP ALT</t>
  </si>
  <si>
    <t>R3.05</t>
  </si>
  <si>
    <t>Energie-Fluides-Thermique 3</t>
  </si>
  <si>
    <t>SAUTRON</t>
  </si>
  <si>
    <t xml:space="preserve"> </t>
  </si>
  <si>
    <t>R3.06</t>
  </si>
  <si>
    <t>Techno méca et fluidique  3</t>
  </si>
  <si>
    <t>D313</t>
  </si>
  <si>
    <t>R3.07</t>
  </si>
  <si>
    <t>Auto indus 3 (capteurs)</t>
  </si>
  <si>
    <t>R3.08</t>
  </si>
  <si>
    <t>Automatique appliquée 3   ( électronique de puissance)</t>
  </si>
  <si>
    <t>CARRE</t>
  </si>
  <si>
    <t>Formann : attention manque S2+3</t>
  </si>
  <si>
    <t>R3.09</t>
  </si>
  <si>
    <t>Maintenance 3</t>
  </si>
  <si>
    <t>R3.10</t>
  </si>
  <si>
    <t>OSI 3</t>
  </si>
  <si>
    <t>DELATTRE</t>
  </si>
  <si>
    <t>complément de R307</t>
  </si>
  <si>
    <t>DAMERY</t>
  </si>
  <si>
    <t>BESOMBES</t>
  </si>
  <si>
    <t>Métrologie</t>
  </si>
  <si>
    <t>R3.11</t>
  </si>
  <si>
    <t>Sécurité 3 : Complément auto appliqué 3</t>
  </si>
  <si>
    <t>Carre</t>
  </si>
  <si>
    <t>a POSITIONNER 0 LA SUITE DE 3,08
formann : manque S2+3</t>
  </si>
  <si>
    <t>FORMMANN</t>
  </si>
  <si>
    <t>R3.12</t>
  </si>
  <si>
    <t>TEC 3</t>
  </si>
  <si>
    <t>R3.13</t>
  </si>
  <si>
    <t>Ang 3</t>
  </si>
  <si>
    <t>en attente des dispo à partir de la S39</t>
  </si>
  <si>
    <t>R3.14</t>
  </si>
  <si>
    <t>PPP 3</t>
  </si>
  <si>
    <t>SAE3.1</t>
  </si>
  <si>
    <t>Participer à une action de maintenance</t>
  </si>
  <si>
    <t>BESOMBE</t>
  </si>
  <si>
    <t>Site</t>
  </si>
  <si>
    <t>ENTREPRISE</t>
  </si>
  <si>
    <t>SAE3.2</t>
  </si>
  <si>
    <t>adapter un système pluri technique</t>
  </si>
  <si>
    <t>SAE3.3</t>
  </si>
  <si>
    <t>R 1.12_AL</t>
  </si>
  <si>
    <t>aide à la réussite</t>
  </si>
  <si>
    <t>Semestre 4</t>
  </si>
  <si>
    <t>R4.01</t>
  </si>
  <si>
    <t>Math 4</t>
  </si>
  <si>
    <t>OLIVI</t>
  </si>
  <si>
    <t>AUDIGIER</t>
  </si>
  <si>
    <t>R4.02</t>
  </si>
  <si>
    <t>Méca 4</t>
  </si>
  <si>
    <t>R4.03</t>
  </si>
  <si>
    <t>Génie élec 4</t>
  </si>
  <si>
    <t>BERAUD</t>
  </si>
  <si>
    <t>Pour cette anné j'ai enlevé 2 séance TD et rajouter une séance TP</t>
  </si>
  <si>
    <t>idem</t>
  </si>
  <si>
    <t>R4.04</t>
  </si>
  <si>
    <t>Energie-Fluides-Thermique 4</t>
  </si>
  <si>
    <t>R4.05</t>
  </si>
  <si>
    <t xml:space="preserve">Mécatronique 4 </t>
  </si>
  <si>
    <t>R4.06</t>
  </si>
  <si>
    <t>Maintenance 4</t>
  </si>
  <si>
    <t>R4.07</t>
  </si>
  <si>
    <t>Environnement 4 (sécurité)</t>
  </si>
  <si>
    <t>R4.08</t>
  </si>
  <si>
    <t>TEC 4</t>
  </si>
  <si>
    <t>R4.09</t>
  </si>
  <si>
    <t>Ang 4</t>
  </si>
  <si>
    <t>R4.10</t>
  </si>
  <si>
    <t>PPP 4</t>
  </si>
  <si>
    <t>SAE4.1</t>
  </si>
  <si>
    <t>Stage</t>
  </si>
  <si>
    <t>demander ?</t>
  </si>
  <si>
    <t>SAE4.2</t>
  </si>
  <si>
    <t>mettre en place une action de maintenance (faire évoluer un système)</t>
  </si>
  <si>
    <t>SAE4.3</t>
  </si>
  <si>
    <t>S5+6</t>
  </si>
  <si>
    <t>APP Cambodge</t>
  </si>
  <si>
    <t>Début stage</t>
  </si>
  <si>
    <t>Fin stage</t>
  </si>
  <si>
    <t>R5.01</t>
  </si>
  <si>
    <t>Math 5</t>
  </si>
  <si>
    <t>R6.01</t>
  </si>
  <si>
    <t>Math 6</t>
  </si>
  <si>
    <t>R5.02</t>
  </si>
  <si>
    <t>Info 5</t>
  </si>
  <si>
    <t>DUTTO</t>
  </si>
  <si>
    <t>R5.03</t>
  </si>
  <si>
    <t>Méca 5</t>
  </si>
  <si>
    <t>R6.02</t>
  </si>
  <si>
    <t xml:space="preserve">Méca 6 </t>
  </si>
  <si>
    <t>R5.04</t>
  </si>
  <si>
    <t>Génie élec 5</t>
  </si>
  <si>
    <t>GE5 = MECTRONIQUE 5
A positionner en continuité aec MECAX5</t>
  </si>
  <si>
    <t>R6.03</t>
  </si>
  <si>
    <t>Génie élec 6</t>
  </si>
  <si>
    <t>R5.05</t>
  </si>
  <si>
    <t>Energie-Fluides-Thermique 5</t>
  </si>
  <si>
    <t>R6.04</t>
  </si>
  <si>
    <t>Energie-Fluides-Thermique 6</t>
  </si>
  <si>
    <t>PINEAU</t>
  </si>
  <si>
    <t>Pas le lundi, vos préférences le vendredi après-midi et samedi matin.</t>
  </si>
  <si>
    <t>R5.06</t>
  </si>
  <si>
    <t>Automatismes Industriels ISP 5</t>
  </si>
  <si>
    <t>R5.07</t>
  </si>
  <si>
    <t>Mécatronique</t>
  </si>
  <si>
    <t>R5.08</t>
  </si>
  <si>
    <t>Maintenance 5</t>
  </si>
  <si>
    <t>FOUCHER</t>
  </si>
  <si>
    <t>pour l'année suivante mettre apres meca5,</t>
  </si>
  <si>
    <t>R5.09</t>
  </si>
  <si>
    <t>Suivi d’affaires - contrat</t>
  </si>
  <si>
    <t>R5.10</t>
  </si>
  <si>
    <t>Référentiel Sécurité</t>
  </si>
  <si>
    <t>R6.05</t>
  </si>
  <si>
    <t>Supervision 6</t>
  </si>
  <si>
    <t>DUTTO 2027?</t>
  </si>
  <si>
    <t>R5.11</t>
  </si>
  <si>
    <t>TEC 5</t>
  </si>
  <si>
    <t>PAPE</t>
  </si>
  <si>
    <t>R6.06</t>
  </si>
  <si>
    <t>TEC 6</t>
  </si>
  <si>
    <t>R5.12</t>
  </si>
  <si>
    <t>Ang 5</t>
  </si>
  <si>
    <t>VENTARD</t>
  </si>
  <si>
    <t>R6.07</t>
  </si>
  <si>
    <t>Anglais 6</t>
  </si>
  <si>
    <t>R5.13</t>
  </si>
  <si>
    <t>PPP 5</t>
  </si>
  <si>
    <t>LE RU</t>
  </si>
  <si>
    <t>SAE5.1</t>
  </si>
  <si>
    <t>faire évoluer un système</t>
  </si>
  <si>
    <t>SAE5.2</t>
  </si>
  <si>
    <t>Installer un système en équipe</t>
  </si>
  <si>
    <t>SAE5.3</t>
  </si>
  <si>
    <t>SAE6.1</t>
  </si>
  <si>
    <t>SAE6.2</t>
  </si>
  <si>
    <t>Structure/Entreprise</t>
  </si>
  <si>
    <t>Nom d'usage</t>
  </si>
  <si>
    <t>Prénom</t>
  </si>
  <si>
    <t>Composantes</t>
  </si>
  <si>
    <t>Corps code</t>
  </si>
  <si>
    <t>Mél principal</t>
  </si>
  <si>
    <t>Tel</t>
  </si>
  <si>
    <t>Mél secondaire</t>
  </si>
  <si>
    <t>2024</t>
  </si>
  <si>
    <t>2025</t>
  </si>
  <si>
    <t>Lycée DURMONT d'urville</t>
  </si>
  <si>
    <t>Georges Eric</t>
  </si>
  <si>
    <t>GIM</t>
  </si>
  <si>
    <t>geallemant@gmail.com</t>
  </si>
  <si>
    <t>0667523211</t>
  </si>
  <si>
    <t>OK</t>
  </si>
  <si>
    <t>Lycée</t>
  </si>
  <si>
    <t>JEAN MARIE</t>
  </si>
  <si>
    <t>PRAG</t>
  </si>
  <si>
    <t>jeanmarie.audigier@gmail.com</t>
  </si>
  <si>
    <t>Jean-Marie.Audigier@ac-nice.fr</t>
  </si>
  <si>
    <t>Ennovia</t>
  </si>
  <si>
    <t>REMI</t>
  </si>
  <si>
    <t>rbesombes@ennovia.fr</t>
  </si>
  <si>
    <t>DEMETER</t>
  </si>
  <si>
    <t>Sarah</t>
  </si>
  <si>
    <t>sarah.bourib@gmail.com</t>
  </si>
  <si>
    <t>CHIARO</t>
  </si>
  <si>
    <t>GERALD</t>
  </si>
  <si>
    <t>LP</t>
  </si>
  <si>
    <t>PLP</t>
  </si>
  <si>
    <t>gerald.chiaro@ac-nice.fr</t>
  </si>
  <si>
    <t>geraldc83@gmail.com</t>
  </si>
  <si>
    <t>NOK</t>
  </si>
  <si>
    <t>COIPLET</t>
  </si>
  <si>
    <t>MAXIMILIEN</t>
  </si>
  <si>
    <t>b00497029@essec.edu</t>
  </si>
  <si>
    <t>Lycée Langevin Seyne</t>
  </si>
  <si>
    <t>Pierre</t>
  </si>
  <si>
    <t>SARAH</t>
  </si>
  <si>
    <t>casimirisarah@gmail.com</t>
  </si>
  <si>
    <t>SupMaritime</t>
  </si>
  <si>
    <t>CUNILL</t>
  </si>
  <si>
    <t>PHILIPPE</t>
  </si>
  <si>
    <t>philippe.cunill@supmaritime.fr</t>
  </si>
  <si>
    <t>enmm.cunil@wanadoo.fr</t>
  </si>
  <si>
    <t>CHASSEREAU DENIS</t>
  </si>
  <si>
    <t>THERESE</t>
  </si>
  <si>
    <t>therese.chassereau@ac-nice.fr</t>
  </si>
  <si>
    <t>JULIEN</t>
  </si>
  <si>
    <t>j.courtois.83@gmail.com</t>
  </si>
  <si>
    <t>MAXIME</t>
  </si>
  <si>
    <t>mdamery@ennovia.fr</t>
  </si>
  <si>
    <t>damery.maxime@hotmail.fr</t>
  </si>
  <si>
    <t>FONTAINE</t>
  </si>
  <si>
    <t>JEAN MARC</t>
  </si>
  <si>
    <t>raft-sarl@orange.fr</t>
  </si>
  <si>
    <t>PASCAL</t>
  </si>
  <si>
    <t>pdelattre@ennovia.fr</t>
  </si>
  <si>
    <t>Cegetec</t>
  </si>
  <si>
    <t>GRATTAPAGLIA</t>
  </si>
  <si>
    <t>GUY</t>
  </si>
  <si>
    <t>guy.grattapaglia@cegelec.com</t>
  </si>
  <si>
    <t>IAE</t>
  </si>
  <si>
    <t>GUEZ</t>
  </si>
  <si>
    <t>JEAN YVES</t>
  </si>
  <si>
    <t>jean-yves.guez@univ-tln.fr</t>
  </si>
  <si>
    <t>jeanyves.guez@previconseil.fr</t>
  </si>
  <si>
    <t>Cegetel</t>
  </si>
  <si>
    <t>DUBREUIL</t>
  </si>
  <si>
    <t>HELENE</t>
  </si>
  <si>
    <t>PRCE</t>
  </si>
  <si>
    <t>hdubreuil@cegetel.net</t>
  </si>
  <si>
    <t>helene.dubreuil@ac-nice.fr</t>
  </si>
  <si>
    <t>Monaco Marine</t>
  </si>
  <si>
    <t>JANOYER</t>
  </si>
  <si>
    <t>REMY</t>
  </si>
  <si>
    <t>rjanoyer@monacomarine.com</t>
  </si>
  <si>
    <t>TITAN Engineering</t>
  </si>
  <si>
    <t>VINCENT</t>
  </si>
  <si>
    <t>vincent.dutto83@gmail.com</t>
  </si>
  <si>
    <t>0673121938</t>
  </si>
  <si>
    <t>vincent.dutto@lsis.org</t>
  </si>
  <si>
    <t>SNCF réseaux</t>
  </si>
  <si>
    <t>Emmanuel</t>
  </si>
  <si>
    <t>emmanuel.formann1984@gmail.com</t>
  </si>
  <si>
    <t>0768974198</t>
  </si>
  <si>
    <t>Auto entrepreneur</t>
  </si>
  <si>
    <t>FREDERIC</t>
  </si>
  <si>
    <t>frede3778@gmail.com</t>
  </si>
  <si>
    <t>MICHAEL</t>
  </si>
  <si>
    <t>michael,ichanson@ac-nice,fr</t>
  </si>
  <si>
    <t>LOPEZ</t>
  </si>
  <si>
    <t>CAMILLE</t>
  </si>
  <si>
    <t>camille@hy-plug.com</t>
  </si>
  <si>
    <t>MACCIOCCHI</t>
  </si>
  <si>
    <t>MARIELLE</t>
  </si>
  <si>
    <t>marielle.macciocchi@gmail.com</t>
  </si>
  <si>
    <t>MAILLARD</t>
  </si>
  <si>
    <t>BRICE</t>
  </si>
  <si>
    <t>brice.mail3@gmail.com</t>
  </si>
  <si>
    <t>LE HENAFF</t>
  </si>
  <si>
    <t>MURIEL</t>
  </si>
  <si>
    <t>muriel.le-henaff@ac-nice.fr</t>
  </si>
  <si>
    <t>PIGLIONE</t>
  </si>
  <si>
    <t>THIERRY</t>
  </si>
  <si>
    <t>thierpi@gmail.com</t>
  </si>
  <si>
    <t>thierry.piglione@naval-group.com</t>
  </si>
  <si>
    <t>UFR Droit</t>
  </si>
  <si>
    <t>FABRICE</t>
  </si>
  <si>
    <t>fabrice.leru@creditmutuel.fr</t>
  </si>
  <si>
    <t>0660816424</t>
  </si>
  <si>
    <t>fabrice.leru@gmail.com</t>
  </si>
  <si>
    <t>ERIC</t>
  </si>
  <si>
    <t>eric.olivi@ac-nice.fr</t>
  </si>
  <si>
    <t>07 81 96 52 20</t>
  </si>
  <si>
    <t>6174ee@gmail.com</t>
  </si>
  <si>
    <t>SALVATI</t>
  </si>
  <si>
    <t>LAURENT</t>
  </si>
  <si>
    <t>laurent.salvati@supmaritime.fr</t>
  </si>
  <si>
    <t>UFR Sc. et Tech.</t>
  </si>
  <si>
    <t>VIRGINIE</t>
  </si>
  <si>
    <t>institut.prima@wanadoo.fr</t>
  </si>
  <si>
    <t>PINTO</t>
  </si>
  <si>
    <t>thierry.pinto@veolia.com</t>
  </si>
  <si>
    <t>VIGNAUX</t>
  </si>
  <si>
    <t>pvconsultingfr@gmail.com</t>
  </si>
  <si>
    <t>vignaux4@aol.com</t>
  </si>
  <si>
    <t>ANTOINE</t>
  </si>
  <si>
    <t>ant.sautron@gmail.com</t>
  </si>
  <si>
    <t>MMI</t>
  </si>
  <si>
    <t>Sandra</t>
  </si>
  <si>
    <t>univ</t>
  </si>
  <si>
    <t>YANN</t>
  </si>
  <si>
    <t>yann.sorel@neuf.fr</t>
  </si>
  <si>
    <t>yann.sorel@univ-tln.fr</t>
  </si>
  <si>
    <t>GEII</t>
  </si>
  <si>
    <t>Angélique</t>
  </si>
  <si>
    <t>EDF</t>
  </si>
  <si>
    <t>Camille</t>
  </si>
  <si>
    <t>p.camille.gym@gmail.com</t>
  </si>
  <si>
    <t xml:space="preserve">Chassereau </t>
  </si>
  <si>
    <t>Dutto</t>
  </si>
  <si>
    <t>Pineau</t>
  </si>
  <si>
    <t>Allemand</t>
  </si>
  <si>
    <t>Karoski</t>
  </si>
  <si>
    <t>Voire boite email du 10 juillet 2025 à 15h32
Septembre :
Lundi 15 septembre : A partir de 15h
Mardi 16 Septembre : Toute la journée
Mercredi 17 Septembre : Toute la journée
Lundi 22 Septembre : Toute la journée 
Mardi 23 Septembre : Toute la journée
Lundi 29 Septembre : Toute la journée jusque 16h30
Octobre (prévisionnel) :
Lundi 6 Octobre : Toute la journée
Mardi 7 Octobre : A partir de 17h30
Mercredi 8 Octobre : A partir de 17h30
Jeudi 9 Octobre : A partir de 17h30
Vendredi 10 Octobre : A partir de 17h30
Jeudi 16 Octobre : Toute la journée
Vendredi 17 Octobre : Toute la journée
Jeudi 23 octobre : Toute la journée
Vendredi 24 octobre : Toute la journée jusque 16h30
Lundi 27 Octobre : à partir de 15h
Mardi 28 Octobre : Toute la journée
Mercredi 29 Octobre : Toute la journée
Novembre (prévisionnel) :
Lundi 3 Novembre : Toute la journée
Mardi 4 Novembre : Toute la journée
Lundi 10 Novembre : Toute la journée jusque 16h30
Lundi 17 Novembre : Toute la journée
Mardi 18 Novembre : A partir de 17h30
Mercredi 19 Novembre : A partir de 17h30
Jeudi 20 Novembre : A partir de 17h30
Vendredi 21 Novembre : A partir de 17h30
Jeudi 27 Novembre : Toute la journée
Vendredi 28 Novembre : Toute la journée
Decembre (prévisionnel):
Jeudi 4 décembre : Toute la journée
Vendredi 5 décembre : Toute la journée jusque 16h30
Lundi 8 décembre : A partir de 15h
Mardi 9 décembre : Toute la journée
Mercredi 10 décembre : Toute la journée
Lundi 15 décembre : Toute la journée
Mardi 16 septembre : Toute la journée</t>
  </si>
  <si>
    <t xml:space="preserve"> TEC 5 : s36 impossible (désolée de l'expression c'est archi plein)
s37 ce serait top de mettre le rattrapage de la s36 sur la même semaine : mardi 9 après-midi et jeudi 11 au matin (en terminant à 12h de ton côté car à 12h15 je suis en jury en M)
s38 mardi 16 au matin idem jeudi 18
s41 jeudi 9 au matin (en terminant à 12h de ton côté car à 12h15 je suis en jury en M)
s42 mardi 14 au matin
s45 mardi 4 au matin
s46/s47 à regrouper sur s46 ? jeudi 13 au matin
et idem s 49/50 mardi 2 au matin.
TEC 6 : S6 et S7 mardi 3 et mardi 10</t>
  </si>
  <si>
    <t>mes disponibilités sont en priorité les jeudis matin et après-midi avant les vacances de toussaint et le mercredi matin.
Après les vacances de Toussaint mes jeudis seront pris mais tu peux placer les cours les mercredis matin et lundi matin ou vendredi matin (mais par bloc de 3 ou 4h) 
3/ peux-tu me bloquer des séances (but 1 ou/et but 2) sur 3h ou 4h par demi-journée.</t>
  </si>
  <si>
    <t xml:space="preserve">
lundi 10h-13h30
mardi 8h-9h30
mercredi 8h à 13h30
jeudi 10h-13h30
dispo les vendredi 03 octobre, 10 octobre, 17 octobre  toute la journée </t>
  </si>
  <si>
    <t>lundi de 8 h à 11 h
mardi à partir de 14 h 30.</t>
  </si>
  <si>
    <t>Les mardis, pas de cours pour moi.
Merci de neutraliser également les dates suivantes sur mon EDT:
- le 03/11/25 (de mémoire, suite à notre réunion, cette année les vacances de toussaint GIM ne sont pas en même temps que BIO. Donc, merci de ne pas me placer de cours durant les vacances de Toussaint).
- le 19/12/25 après-midi
- Le 05/01/26
- Le 02/03/26
- Le 27/04/26
 libérer l'après-midi du 03/10 à compter de 14h30</t>
  </si>
  <si>
    <t>Samedi matin
 vendredi soir à partir de 17h30 en tous cas jusqu'à janvier</t>
  </si>
  <si>
    <t>Mercredi matin
+si besoinSamedi matin sinon
+ lundi et mardi à partir de 18h
+ exceptionnelle jeudi 8-11h</t>
  </si>
  <si>
    <t xml:space="preserve">* Lundi : Toute la journée
* Mardi : À partir de 13h
</t>
  </si>
  <si>
    <t>voir pdf email</t>
  </si>
  <si>
    <t xml:space="preserve"> les mercredis entre 14h30 et 16h30,
-- les jeudis entre 8h et 11h30.</t>
  </si>
  <si>
    <t>fin d'après-midi de 17h30 à 19h. Priorité samedi matin</t>
  </si>
  <si>
    <t xml:space="preserve"> 10h30:
- Le jeudi 30 octobre ( à prioriser si possible)
- Le lundi 10 novembre ( à prioriser si possible )
- Le mardi 2 décembre
- Le mercredi 9 décembre
- Les samedi 15,22 novembre et 6 décembre.</t>
  </si>
  <si>
    <t>semestre lundi matin ou lundi après midi (à me préciser ce qui t'arrange), de façon ponctuelle le mercredi matin sur le créneau 8-11h, et éventuellement le vendredi matin 8-11h30
2e semestre je ne serai plus dispo le lundi après midi)</t>
  </si>
  <si>
    <t>mercredi am puis le soir puis le jeudi (a confirmer) sinon samedi matin</t>
  </si>
  <si>
    <t>Pas le samedi matin</t>
  </si>
  <si>
    <t>Février 2026 :
- Lundi 2 (Toute le journée)
- Lundi 9 (Toute la journée)
- Jeudi 19 (Toute la journée)
- Vendredi 20 (Toute le journée)
- Jeudi 26  (Toute le journée)
- Vendredi 27 (Toute la journée)
Mars 2026 :
- Mardi 3 (Toute la journée)
- Mercredi 4 (Toute la journée)
- Lundi 9 (Toute la journée)
- Mardi 10 (Toute la journée)
- Lundi 16 (Toute la journée)
- Lundi 23 (Toute la journée)
Avril 2026 :
- Jeudi 2 (Toute la journée)
- Vendredi 3 (Toute la journée)
- Jeudi 9 (Toute la journée)
- Vendredi 10 (Toute la journée)
- Mardi 14 (Toute la journée)
- Mercredi 15 (Toute la journée)
- Lundi 20 (Toute la journée)
- Mardi 21 (Toute la journée)
- Lundi 27 (Toute la journée)
Mai 2026 (Pas facile avec les ponts...) :
- Jeudi 21 (Toute la journée)
- Vendredi 22 (Toute la journée)
- Lundi 25 (A partir de 16h30)
- Mardi 26 (Toute la journée)
- Mercredi 27 (Toute la journée)
Juin 2026
- Lundi 1 (Toute la journée)
- Mardi 2 (Toute la journée)
- Lundi 8 (Toute la journée)
- Lundi 15 (Toute la journée)
- Jeudi 25 (Toute la journée)
- Vendredi 26 (Toute la journée)</t>
  </si>
  <si>
    <t>Notes</t>
  </si>
  <si>
    <t>Fait sauf les TP à partir des vacances de la toussaint car manque de dispo</t>
  </si>
  <si>
    <t>Formann</t>
  </si>
  <si>
    <t>manque des dispo pour janvier</t>
  </si>
  <si>
    <t>apres Lafont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</si>
</sst>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C]General"/>
    <numFmt numFmtId="165" formatCode="#,##0.00&quot; &quot;[$€-40C];[Red]&quot;-&quot;#,##0.00&quot; &quot;[$€-40C]"/>
    <numFmt numFmtId="166" formatCode="0.0"/>
  </numFmts>
  <fonts count="31">
    <font>
      <sz val="11"/>
      <color theme="1"/>
      <name val="Aptos Narrow"/>
      <family val="2"/>
      <scheme val="minor"/>
    </font>
    <font>
      <sz val="11"/>
      <color rgb="FF333333"/>
      <name val="Calibri"/>
      <family val="2"/>
    </font>
    <font>
      <sz val="11"/>
      <name val="Arial"/>
      <family val="2"/>
    </font>
    <font>
      <sz val="11"/>
      <name val="Aptos Narrow"/>
      <family val="2"/>
      <scheme val="minor"/>
    </font>
    <font>
      <sz val="11"/>
      <color theme="1"/>
      <name val="Arial"/>
      <family val="2"/>
    </font>
    <font>
      <b/>
      <i/>
      <sz val="11"/>
      <name val="Arial"/>
      <family val="2"/>
    </font>
    <font>
      <b/>
      <sz val="11"/>
      <name val="Arial"/>
      <family val="2"/>
    </font>
    <font>
      <u/>
      <sz val="11"/>
      <color theme="10"/>
      <name val="Aptos Narrow"/>
      <family val="2"/>
      <scheme val="minor"/>
    </font>
    <font>
      <sz val="12"/>
      <color theme="1"/>
      <name val="Aptos Narrow"/>
      <family val="2"/>
      <scheme val="minor"/>
    </font>
    <font>
      <sz val="10"/>
      <name val="Arial"/>
      <family val="2"/>
    </font>
    <font>
      <sz val="10"/>
      <color theme="1"/>
      <name val="Arial"/>
      <family val="2"/>
    </font>
    <font>
      <b/>
      <sz val="10"/>
      <color rgb="FF000000"/>
      <name val="Arial"/>
      <family val="2"/>
    </font>
    <font>
      <sz val="10"/>
      <color rgb="FFFFFFFF"/>
      <name val="Arial"/>
      <family val="2"/>
    </font>
    <font>
      <sz val="10"/>
      <color rgb="FFCC0000"/>
      <name val="Arial"/>
      <family val="2"/>
    </font>
    <font>
      <b/>
      <sz val="10"/>
      <color rgb="FFFFFFFF"/>
      <name val="Arial"/>
      <family val="2"/>
    </font>
    <font>
      <i/>
      <sz val="10"/>
      <color rgb="FF808080"/>
      <name val="Arial"/>
      <family val="2"/>
    </font>
    <font>
      <sz val="10"/>
      <color rgb="FF006600"/>
      <name val="Arial"/>
      <family val="2"/>
    </font>
    <font>
      <b/>
      <i/>
      <sz val="16"/>
      <color theme="1"/>
      <name val="Arial"/>
      <family val="2"/>
    </font>
    <font>
      <sz val="12"/>
      <color rgb="FF000000"/>
      <name val="Arial"/>
      <family val="2"/>
    </font>
    <font>
      <u/>
      <sz val="10"/>
      <color rgb="FF0000EE"/>
      <name val="Arial"/>
      <family val="2"/>
    </font>
    <font>
      <sz val="10"/>
      <color rgb="FF996600"/>
      <name val="Arial"/>
      <family val="2"/>
    </font>
    <font>
      <sz val="10"/>
      <color rgb="FF333333"/>
      <name val="Arial"/>
      <family val="2"/>
    </font>
    <font>
      <b/>
      <i/>
      <u/>
      <sz val="10"/>
      <color theme="1"/>
      <name val="Arial"/>
      <family val="2"/>
    </font>
    <font>
      <sz val="10"/>
      <color rgb="FF000080"/>
      <name val="Arial1"/>
    </font>
    <font>
      <sz val="8"/>
      <color rgb="FF000080"/>
      <name val="Arial1"/>
    </font>
    <font>
      <sz val="8"/>
      <color theme="1"/>
      <name val="Arial"/>
      <family val="2"/>
    </font>
    <font>
      <sz val="10"/>
      <color rgb="FF000080"/>
      <name val="Arial"/>
      <family val="2"/>
    </font>
    <font>
      <sz val="11"/>
      <color rgb="FF000080"/>
      <name val="Arial"/>
      <family val="2"/>
    </font>
    <font>
      <sz val="8"/>
      <color rgb="FF000080"/>
      <name val="Arial"/>
      <family val="2"/>
    </font>
    <font>
      <sz val="20"/>
      <color theme="1"/>
      <name val="Aptos Narrow"/>
      <family val="2"/>
      <scheme val="minor"/>
    </font>
    <font>
      <sz val="36"/>
      <color theme="1"/>
      <name val="Aptos Narrow"/>
      <family val="2"/>
      <scheme val="minor"/>
    </font>
  </fonts>
  <fills count="21">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00FF66"/>
        <bgColor rgb="FF00FF66"/>
      </patternFill>
    </fill>
    <fill>
      <patternFill patternType="solid">
        <fgColor rgb="FF92D050"/>
        <bgColor rgb="FF00FF66"/>
      </patternFill>
    </fill>
    <fill>
      <patternFill patternType="solid">
        <fgColor rgb="FF92D050"/>
        <bgColor rgb="FF52FC47"/>
      </patternFill>
    </fill>
    <fill>
      <patternFill patternType="solid">
        <fgColor rgb="FF92D050"/>
        <bgColor rgb="FF00FF00"/>
      </patternFill>
    </fill>
    <fill>
      <patternFill patternType="solid">
        <fgColor rgb="FFFFC000"/>
        <bgColor rgb="FF00FF66"/>
      </patternFill>
    </fill>
    <fill>
      <patternFill patternType="solid">
        <fgColor rgb="FF00B0F0"/>
        <bgColor indexed="64"/>
      </patternFill>
    </fill>
    <fill>
      <patternFill patternType="solid">
        <fgColor rgb="FF00B0F0"/>
        <bgColor rgb="FF00FF66"/>
      </patternFill>
    </fill>
    <fill>
      <patternFill patternType="solid">
        <fgColor rgb="FF00B050"/>
        <bgColor indexed="64"/>
      </patternFill>
    </fill>
    <fill>
      <patternFill patternType="solid">
        <fgColor theme="6"/>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ck">
        <color rgb="FFFF0000"/>
      </top>
      <bottom style="thin">
        <color indexed="64"/>
      </bottom>
      <diagonal/>
    </border>
    <border>
      <left style="thick">
        <color rgb="FFFF0000"/>
      </left>
      <right style="thin">
        <color indexed="64"/>
      </right>
      <top style="thick">
        <color rgb="FFFF0000"/>
      </top>
      <bottom style="thin">
        <color indexed="64"/>
      </bottom>
      <diagonal/>
    </border>
    <border>
      <left style="thick">
        <color rgb="FFFF0000"/>
      </left>
      <right style="thin">
        <color indexed="64"/>
      </right>
      <top style="thin">
        <color indexed="64"/>
      </top>
      <bottom style="thin">
        <color indexed="64"/>
      </bottom>
      <diagonal/>
    </border>
    <border>
      <left style="thick">
        <color rgb="FFFF0000"/>
      </left>
      <right style="thin">
        <color indexed="64"/>
      </right>
      <top style="thin">
        <color indexed="64"/>
      </top>
      <bottom style="thick">
        <color rgb="FFFF0000"/>
      </bottom>
      <diagonal/>
    </border>
    <border>
      <left style="thin">
        <color indexed="64"/>
      </left>
      <right style="thin">
        <color indexed="64"/>
      </right>
      <top style="thin">
        <color indexed="64"/>
      </top>
      <bottom style="thick">
        <color rgb="FFFF0000"/>
      </bottom>
      <diagonal/>
    </border>
    <border>
      <left style="thin">
        <color indexed="64"/>
      </left>
      <right style="thick">
        <color rgb="FFFF0000"/>
      </right>
      <top style="thick">
        <color rgb="FFFF0000"/>
      </top>
      <bottom style="thin">
        <color indexed="64"/>
      </bottom>
      <diagonal/>
    </border>
    <border>
      <left style="thin">
        <color indexed="64"/>
      </left>
      <right style="thick">
        <color rgb="FFFF0000"/>
      </right>
      <top style="thin">
        <color indexed="64"/>
      </top>
      <bottom style="thick">
        <color rgb="FFFF0000"/>
      </bottom>
      <diagonal/>
    </border>
    <border>
      <left style="thin">
        <color indexed="64"/>
      </left>
      <right style="thick">
        <color rgb="FFFF0000"/>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ck">
        <color rgb="FFFF0000"/>
      </top>
      <bottom/>
      <diagonal/>
    </border>
    <border>
      <left style="thin">
        <color indexed="64"/>
      </left>
      <right style="thin">
        <color indexed="64"/>
      </right>
      <top/>
      <bottom/>
      <diagonal/>
    </border>
    <border>
      <left style="thin">
        <color indexed="64"/>
      </left>
      <right style="thin">
        <color indexed="64"/>
      </right>
      <top/>
      <bottom style="thick">
        <color rgb="FFFF0000"/>
      </bottom>
      <diagonal/>
    </border>
    <border>
      <left style="thin">
        <color indexed="64"/>
      </left>
      <right style="thick">
        <color rgb="FFFF0000"/>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ck">
        <color rgb="FFFF0000"/>
      </right>
      <top style="thin">
        <color indexed="64"/>
      </top>
      <bottom style="medium">
        <color indexed="64"/>
      </bottom>
      <diagonal/>
    </border>
    <border>
      <left style="thin">
        <color indexed="64"/>
      </left>
      <right/>
      <top style="thin">
        <color indexed="64"/>
      </top>
      <bottom style="thick">
        <color rgb="FFFF0000"/>
      </bottom>
      <diagonal/>
    </border>
    <border>
      <left/>
      <right style="thin">
        <color indexed="64"/>
      </right>
      <top style="thin">
        <color indexed="64"/>
      </top>
      <bottom style="thick">
        <color rgb="FFFF0000"/>
      </bottom>
      <diagonal/>
    </border>
    <border>
      <left style="thick">
        <color rgb="FFFF0000"/>
      </left>
      <right style="thin">
        <color indexed="64"/>
      </right>
      <top style="thick">
        <color rgb="FFFF0000"/>
      </top>
      <bottom/>
      <diagonal/>
    </border>
    <border>
      <left style="thick">
        <color rgb="FFFF0000"/>
      </left>
      <right style="thin">
        <color indexed="64"/>
      </right>
      <top/>
      <bottom/>
      <diagonal/>
    </border>
    <border>
      <left style="thick">
        <color rgb="FFFF0000"/>
      </left>
      <right style="thin">
        <color indexed="64"/>
      </right>
      <top/>
      <bottom style="thick">
        <color rgb="FFFF0000"/>
      </bottom>
      <diagonal/>
    </border>
    <border>
      <left style="thin">
        <color indexed="64"/>
      </left>
      <right style="thin">
        <color indexed="64"/>
      </right>
      <top/>
      <bottom style="medium">
        <color indexed="64"/>
      </bottom>
      <diagonal/>
    </border>
    <border>
      <left style="thick">
        <color rgb="FFFF0000"/>
      </left>
      <right/>
      <top/>
      <bottom/>
      <diagonal/>
    </border>
    <border>
      <left style="thin">
        <color indexed="64"/>
      </left>
      <right/>
      <top/>
      <bottom/>
      <diagonal/>
    </border>
    <border>
      <left/>
      <right style="thin">
        <color indexed="64"/>
      </right>
      <top style="thick">
        <color rgb="FFFF0000"/>
      </top>
      <bottom style="thin">
        <color indexed="64"/>
      </bottom>
      <diagonal/>
    </border>
    <border>
      <left/>
      <right/>
      <top style="thin">
        <color indexed="64"/>
      </top>
      <bottom/>
      <diagonal/>
    </border>
    <border>
      <left style="thin">
        <color indexed="64"/>
      </left>
      <right/>
      <top/>
      <bottom style="thick">
        <color rgb="FFFF0000"/>
      </bottom>
      <diagonal/>
    </border>
    <border>
      <left style="thin">
        <color rgb="FF808080"/>
      </left>
      <right style="thin">
        <color rgb="FF808080"/>
      </right>
      <top style="thin">
        <color rgb="FF808080"/>
      </top>
      <bottom style="thin">
        <color rgb="FF808080"/>
      </bottom>
      <diagonal/>
    </border>
    <border>
      <left style="thin">
        <color indexed="64"/>
      </left>
      <right/>
      <top style="thick">
        <color rgb="FFFF0000"/>
      </top>
      <bottom/>
      <diagonal/>
    </border>
    <border>
      <left/>
      <right style="thick">
        <color rgb="FFFF0000"/>
      </right>
      <top style="thick">
        <color rgb="FFFF0000"/>
      </top>
      <bottom/>
      <diagonal/>
    </border>
    <border>
      <left/>
      <right style="thick">
        <color rgb="FFFF0000"/>
      </right>
      <top/>
      <bottom/>
      <diagonal/>
    </border>
    <border>
      <left/>
      <right style="thick">
        <color rgb="FFFF0000"/>
      </right>
      <top/>
      <bottom style="thick">
        <color rgb="FFFF0000"/>
      </bottom>
      <diagonal/>
    </border>
    <border>
      <left style="thick">
        <color rgb="FFFF0000"/>
      </left>
      <right style="thin">
        <color indexed="64"/>
      </right>
      <top style="thin">
        <color indexed="64"/>
      </top>
      <bottom/>
      <diagonal/>
    </border>
    <border>
      <left style="thin">
        <color indexed="64"/>
      </left>
      <right style="thick">
        <color rgb="FFFF0000"/>
      </right>
      <top/>
      <bottom style="thin">
        <color indexed="64"/>
      </bottom>
      <diagonal/>
    </border>
    <border>
      <left style="thick">
        <color rgb="FFFF0000"/>
      </left>
      <right/>
      <top style="thick">
        <color rgb="FFFF0000"/>
      </top>
      <bottom/>
      <diagonal/>
    </border>
    <border>
      <left style="thick">
        <color rgb="FFFF0000"/>
      </left>
      <right/>
      <top/>
      <bottom style="thick">
        <color rgb="FFFF0000"/>
      </bottom>
      <diagonal/>
    </border>
    <border>
      <left style="thick">
        <color rgb="FFFF0000"/>
      </left>
      <right/>
      <top/>
      <bottom style="medium">
        <color indexed="64"/>
      </bottom>
      <diagonal/>
    </border>
    <border>
      <left/>
      <right style="thick">
        <color rgb="FFFF0000"/>
      </right>
      <top/>
      <bottom style="medium">
        <color indexed="64"/>
      </bottom>
      <diagonal/>
    </border>
    <border>
      <left style="thick">
        <color rgb="FFFF0000"/>
      </left>
      <right/>
      <top style="medium">
        <color indexed="64"/>
      </top>
      <bottom/>
      <diagonal/>
    </border>
    <border>
      <left/>
      <right style="thick">
        <color rgb="FFFF0000"/>
      </right>
      <top style="medium">
        <color indexed="64"/>
      </top>
      <bottom/>
      <diagonal/>
    </border>
    <border>
      <left/>
      <right/>
      <top style="thick">
        <color rgb="FFFF0000"/>
      </top>
      <bottom style="thick">
        <color rgb="FFFF0000"/>
      </bottom>
      <diagonal/>
    </border>
    <border>
      <left/>
      <right style="thin">
        <color indexed="64"/>
      </right>
      <top/>
      <bottom style="thick">
        <color rgb="FFFF0000"/>
      </bottom>
      <diagonal/>
    </border>
    <border>
      <left/>
      <right style="thin">
        <color indexed="64"/>
      </right>
      <top/>
      <bottom style="thin">
        <color indexed="64"/>
      </bottom>
      <diagonal/>
    </border>
    <border>
      <left/>
      <right style="thick">
        <color rgb="FFFF0000"/>
      </right>
      <top style="thin">
        <color indexed="64"/>
      </top>
      <bottom/>
      <diagonal/>
    </border>
    <border>
      <left style="thin">
        <color indexed="64"/>
      </left>
      <right/>
      <top style="thick">
        <color rgb="FFFF0000"/>
      </top>
      <bottom style="thin">
        <color indexed="64"/>
      </bottom>
      <diagonal/>
    </border>
    <border>
      <left/>
      <right style="thick">
        <color rgb="FFFF0000"/>
      </right>
      <top style="thick">
        <color rgb="FFFF0000"/>
      </top>
      <bottom style="thin">
        <color indexed="64"/>
      </bottom>
      <diagonal/>
    </border>
  </borders>
  <cellStyleXfs count="24">
    <xf numFmtId="0" fontId="0" fillId="0" borderId="0"/>
    <xf numFmtId="164" fontId="1" fillId="0" borderId="0"/>
    <xf numFmtId="164" fontId="1" fillId="0" borderId="0"/>
    <xf numFmtId="0" fontId="7" fillId="0" borderId="0" applyNumberFormat="0" applyFill="0" applyBorder="0" applyAlignment="0" applyProtection="0"/>
    <xf numFmtId="0" fontId="10" fillId="0" borderId="0"/>
    <xf numFmtId="0" fontId="21" fillId="11" borderId="34"/>
    <xf numFmtId="0" fontId="11" fillId="0" borderId="0"/>
    <xf numFmtId="0" fontId="12" fillId="5" borderId="0"/>
    <xf numFmtId="0" fontId="12" fillId="6" borderId="0"/>
    <xf numFmtId="0" fontId="11" fillId="7" borderId="0"/>
    <xf numFmtId="0" fontId="13" fillId="8" borderId="0"/>
    <xf numFmtId="0" fontId="14" fillId="9" borderId="0"/>
    <xf numFmtId="0" fontId="15" fillId="0" borderId="0"/>
    <xf numFmtId="0" fontId="16" fillId="10" borderId="0"/>
    <xf numFmtId="0" fontId="17" fillId="0" borderId="0">
      <alignment horizontal="center"/>
    </xf>
    <xf numFmtId="0" fontId="17" fillId="0" borderId="0">
      <alignment horizontal="center" textRotation="90"/>
    </xf>
    <xf numFmtId="0" fontId="18" fillId="0" borderId="0"/>
    <xf numFmtId="0" fontId="19" fillId="0" borderId="0"/>
    <xf numFmtId="0" fontId="20" fillId="11" borderId="0"/>
    <xf numFmtId="0" fontId="22" fillId="0" borderId="0"/>
    <xf numFmtId="165" fontId="22" fillId="0" borderId="0"/>
    <xf numFmtId="0" fontId="10" fillId="0" borderId="0"/>
    <xf numFmtId="0" fontId="10" fillId="0" borderId="0"/>
    <xf numFmtId="0" fontId="13" fillId="0" borderId="0"/>
  </cellStyleXfs>
  <cellXfs count="526">
    <xf numFmtId="0" fontId="0" fillId="0" borderId="0" xfId="0"/>
    <xf numFmtId="0" fontId="3" fillId="0" borderId="0" xfId="0" applyFont="1"/>
    <xf numFmtId="0" fontId="0" fillId="0" borderId="0" xfId="0" applyAlignment="1">
      <alignment horizontal="center" vertical="center"/>
    </xf>
    <xf numFmtId="0" fontId="0" fillId="0" borderId="0" xfId="0" applyAlignment="1">
      <alignment horizontal="center"/>
    </xf>
    <xf numFmtId="0" fontId="6"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textRotation="90"/>
    </xf>
    <xf numFmtId="0" fontId="2" fillId="0" borderId="1" xfId="0" applyFont="1" applyBorder="1" applyAlignment="1">
      <alignment horizontal="center"/>
    </xf>
    <xf numFmtId="0" fontId="6" fillId="0" borderId="1" xfId="0" applyFont="1" applyBorder="1" applyAlignment="1">
      <alignment horizontal="center" vertical="center" textRotation="90"/>
    </xf>
    <xf numFmtId="0" fontId="5" fillId="0" borderId="1" xfId="0" applyFont="1" applyBorder="1" applyAlignment="1" applyProtection="1">
      <alignment horizontal="center"/>
      <protection locked="0"/>
    </xf>
    <xf numFmtId="0" fontId="2" fillId="0" borderId="1" xfId="0" applyFont="1" applyBorder="1" applyAlignment="1">
      <alignment horizontal="center" vertical="center" wrapText="1"/>
    </xf>
    <xf numFmtId="0" fontId="4" fillId="0" borderId="1" xfId="0" applyFont="1" applyBorder="1"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0" fillId="0" borderId="0" xfId="0" applyAlignment="1">
      <alignment horizontal="center" vertical="center" wrapText="1"/>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4" fillId="0" borderId="3" xfId="0" applyFont="1" applyBorder="1" applyAlignment="1">
      <alignment horizontal="center" vertical="center"/>
    </xf>
    <xf numFmtId="0" fontId="4" fillId="0" borderId="7" xfId="0" applyFont="1" applyBorder="1" applyAlignment="1">
      <alignment horizontal="center" vertical="center"/>
    </xf>
    <xf numFmtId="0" fontId="6" fillId="0" borderId="1" xfId="0" applyFont="1" applyBorder="1" applyAlignment="1">
      <alignment horizontal="center"/>
    </xf>
    <xf numFmtId="0" fontId="2" fillId="0" borderId="2" xfId="0" applyFont="1" applyBorder="1" applyAlignment="1">
      <alignment horizontal="center"/>
    </xf>
    <xf numFmtId="2" fontId="2" fillId="0" borderId="3" xfId="0" applyNumberFormat="1" applyFont="1" applyBorder="1" applyAlignment="1">
      <alignment horizontal="center" vertical="center"/>
    </xf>
    <xf numFmtId="2" fontId="2" fillId="0" borderId="1" xfId="0" applyNumberFormat="1" applyFont="1" applyBorder="1" applyAlignment="1">
      <alignment horizontal="center" vertical="center"/>
    </xf>
    <xf numFmtId="2" fontId="2" fillId="0" borderId="1" xfId="0" applyNumberFormat="1" applyFont="1" applyBorder="1" applyAlignment="1">
      <alignment horizontal="center"/>
    </xf>
    <xf numFmtId="2" fontId="2" fillId="0" borderId="7" xfId="0" applyNumberFormat="1" applyFont="1" applyBorder="1" applyAlignment="1">
      <alignment horizontal="center" vertical="center"/>
    </xf>
    <xf numFmtId="2" fontId="4" fillId="0" borderId="3" xfId="0" applyNumberFormat="1" applyFont="1" applyBorder="1" applyAlignment="1">
      <alignment horizontal="center" vertical="center"/>
    </xf>
    <xf numFmtId="2" fontId="4" fillId="0" borderId="1" xfId="0" applyNumberFormat="1" applyFont="1" applyBorder="1" applyAlignment="1">
      <alignment horizontal="center" vertical="center"/>
    </xf>
    <xf numFmtId="2" fontId="4" fillId="0" borderId="7" xfId="0" applyNumberFormat="1" applyFont="1" applyBorder="1" applyAlignment="1">
      <alignment horizontal="center" vertical="center"/>
    </xf>
    <xf numFmtId="2" fontId="2" fillId="0" borderId="2" xfId="0" applyNumberFormat="1" applyFont="1" applyBorder="1" applyAlignment="1">
      <alignment horizontal="center" vertical="center"/>
    </xf>
    <xf numFmtId="0" fontId="4" fillId="0" borderId="3" xfId="0" applyFont="1" applyBorder="1" applyAlignment="1">
      <alignment horizontal="center" vertical="center" wrapText="1"/>
    </xf>
    <xf numFmtId="0" fontId="4" fillId="0" borderId="7" xfId="0" applyFont="1" applyBorder="1" applyAlignment="1">
      <alignment horizontal="center" vertical="center" wrapText="1"/>
    </xf>
    <xf numFmtId="0" fontId="0" fillId="0" borderId="1" xfId="0" applyBorder="1"/>
    <xf numFmtId="0" fontId="5" fillId="0" borderId="1" xfId="0" applyFont="1" applyBorder="1" applyAlignment="1" applyProtection="1">
      <alignment horizontal="center" vertical="center"/>
      <protection locked="0"/>
    </xf>
    <xf numFmtId="2" fontId="2" fillId="2" borderId="3" xfId="0" applyNumberFormat="1" applyFont="1" applyFill="1" applyBorder="1" applyAlignment="1">
      <alignment horizontal="center" vertical="center"/>
    </xf>
    <xf numFmtId="2" fontId="2" fillId="2" borderId="1" xfId="0" applyNumberFormat="1" applyFont="1" applyFill="1" applyBorder="1" applyAlignment="1">
      <alignment horizontal="center" vertical="center"/>
    </xf>
    <xf numFmtId="2" fontId="2" fillId="2" borderId="7" xfId="0" applyNumberFormat="1" applyFont="1" applyFill="1" applyBorder="1" applyAlignment="1">
      <alignment horizontal="center" vertical="center"/>
    </xf>
    <xf numFmtId="2" fontId="4" fillId="2" borderId="3" xfId="0" applyNumberFormat="1" applyFont="1" applyFill="1" applyBorder="1" applyAlignment="1">
      <alignment horizontal="center" vertical="center"/>
    </xf>
    <xf numFmtId="2" fontId="4" fillId="2" borderId="1" xfId="0" applyNumberFormat="1" applyFont="1" applyFill="1" applyBorder="1" applyAlignment="1">
      <alignment horizontal="center" vertical="center"/>
    </xf>
    <xf numFmtId="2" fontId="4" fillId="2" borderId="7" xfId="0" applyNumberFormat="1" applyFont="1" applyFill="1" applyBorder="1" applyAlignment="1">
      <alignment horizontal="center" vertical="center"/>
    </xf>
    <xf numFmtId="0" fontId="2" fillId="0" borderId="2"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0" fontId="2" fillId="0" borderId="13"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xf numFmtId="0" fontId="2" fillId="0" borderId="7" xfId="0" applyFont="1" applyBorder="1" applyAlignment="1" applyProtection="1">
      <alignment horizontal="center" vertical="center" wrapText="1"/>
      <protection locked="0"/>
    </xf>
    <xf numFmtId="0" fontId="2" fillId="0" borderId="12" xfId="0" applyFont="1" applyBorder="1" applyAlignment="1" applyProtection="1">
      <alignment horizontal="center" vertical="center" wrapText="1"/>
      <protection locked="0"/>
    </xf>
    <xf numFmtId="0" fontId="2" fillId="0" borderId="14"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4" fillId="0" borderId="3" xfId="0" applyFont="1" applyBorder="1" applyAlignment="1" applyProtection="1">
      <alignment horizontal="center" vertical="center" wrapText="1"/>
      <protection locked="0"/>
    </xf>
    <xf numFmtId="0" fontId="4" fillId="0" borderId="7" xfId="0" applyFont="1" applyBorder="1" applyAlignment="1" applyProtection="1">
      <alignment horizontal="center" vertical="center" wrapText="1"/>
      <protection locked="0"/>
    </xf>
    <xf numFmtId="0" fontId="4" fillId="0" borderId="12" xfId="0" applyFont="1" applyBorder="1" applyAlignment="1" applyProtection="1">
      <alignment horizontal="center" vertical="center" wrapText="1"/>
      <protection locked="0"/>
    </xf>
    <xf numFmtId="0" fontId="4" fillId="0" borderId="14" xfId="0" applyFont="1" applyBorder="1" applyAlignment="1" applyProtection="1">
      <alignment horizontal="center" vertical="center" wrapText="1"/>
      <protection locked="0"/>
    </xf>
    <xf numFmtId="0" fontId="4" fillId="0" borderId="23" xfId="0" applyFont="1" applyBorder="1" applyAlignment="1" applyProtection="1">
      <alignment horizontal="center" vertical="center" wrapText="1"/>
      <protection locked="0"/>
    </xf>
    <xf numFmtId="0" fontId="4" fillId="0" borderId="24" xfId="0"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8" fillId="0" borderId="0" xfId="0" applyFont="1"/>
    <xf numFmtId="0" fontId="7" fillId="0" borderId="0" xfId="3"/>
    <xf numFmtId="0" fontId="0" fillId="0" borderId="1" xfId="0" applyBorder="1" applyAlignment="1">
      <alignment horizontal="center" vertical="center"/>
    </xf>
    <xf numFmtId="0" fontId="2" fillId="0" borderId="2" xfId="0" applyFont="1" applyBorder="1" applyAlignment="1" applyProtection="1">
      <alignment horizontal="center" vertical="center" textRotation="90" wrapText="1"/>
      <protection locked="0"/>
    </xf>
    <xf numFmtId="0" fontId="6" fillId="0" borderId="2" xfId="0" applyFont="1" applyBorder="1" applyAlignment="1" applyProtection="1">
      <alignment horizontal="center" vertical="center" textRotation="90" wrapText="1"/>
      <protection locked="0"/>
    </xf>
    <xf numFmtId="2" fontId="4" fillId="0" borderId="16" xfId="0" applyNumberFormat="1" applyFont="1" applyBorder="1" applyAlignment="1">
      <alignment horizontal="center" vertical="center"/>
    </xf>
    <xf numFmtId="2" fontId="2" fillId="0" borderId="16" xfId="0" applyNumberFormat="1" applyFont="1" applyBorder="1" applyAlignment="1" applyProtection="1">
      <alignment vertical="center" wrapText="1"/>
      <protection locked="0"/>
    </xf>
    <xf numFmtId="2" fontId="2" fillId="0" borderId="16" xfId="0" applyNumberFormat="1" applyFont="1" applyBorder="1" applyAlignment="1" applyProtection="1">
      <alignment horizontal="center" vertical="center" wrapText="1"/>
      <protection locked="0"/>
    </xf>
    <xf numFmtId="2" fontId="2" fillId="0" borderId="18" xfId="0" applyNumberFormat="1" applyFont="1" applyBorder="1" applyAlignment="1" applyProtection="1">
      <alignment horizontal="center" vertical="center" wrapText="1"/>
      <protection locked="0"/>
    </xf>
    <xf numFmtId="0" fontId="2" fillId="0" borderId="28" xfId="0" applyFont="1" applyBorder="1" applyAlignment="1" applyProtection="1">
      <alignment horizontal="center" vertical="center" wrapText="1"/>
      <protection locked="0"/>
    </xf>
    <xf numFmtId="0" fontId="0" fillId="0" borderId="2" xfId="0" applyBorder="1" applyAlignment="1">
      <alignment horizontal="center" vertical="center"/>
    </xf>
    <xf numFmtId="0" fontId="5" fillId="3" borderId="1" xfId="0" applyFont="1" applyFill="1" applyBorder="1" applyAlignment="1" applyProtection="1">
      <alignment horizontal="center"/>
      <protection locked="0"/>
    </xf>
    <xf numFmtId="0" fontId="2" fillId="3" borderId="1" xfId="0" applyFont="1" applyFill="1" applyBorder="1" applyAlignment="1">
      <alignment horizontal="center"/>
    </xf>
    <xf numFmtId="0" fontId="0" fillId="0" borderId="3"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10" fillId="0" borderId="1" xfId="4" applyBorder="1" applyAlignment="1" applyProtection="1">
      <alignment horizontal="center" vertical="center"/>
      <protection locked="0"/>
    </xf>
    <xf numFmtId="0" fontId="10" fillId="15" borderId="1" xfId="4" applyFill="1" applyBorder="1" applyAlignment="1" applyProtection="1">
      <alignment horizontal="center" vertical="center" textRotation="90"/>
      <protection locked="0"/>
    </xf>
    <xf numFmtId="0" fontId="10" fillId="14" borderId="1" xfId="4" applyFill="1" applyBorder="1" applyAlignment="1">
      <alignment horizontal="center" vertical="center" textRotation="90"/>
    </xf>
    <xf numFmtId="0" fontId="10" fillId="0" borderId="1" xfId="4" applyBorder="1" applyAlignment="1">
      <alignment horizontal="center" vertical="center" textRotation="90"/>
    </xf>
    <xf numFmtId="0" fontId="10" fillId="0" borderId="1" xfId="4" applyBorder="1" applyAlignment="1">
      <alignment horizontal="center" vertical="center"/>
    </xf>
    <xf numFmtId="0" fontId="27" fillId="0" borderId="1" xfId="4" applyFont="1" applyBorder="1" applyAlignment="1">
      <alignment horizontal="center" vertical="center" wrapText="1"/>
    </xf>
    <xf numFmtId="0" fontId="4" fillId="0" borderId="1" xfId="4" applyFont="1" applyBorder="1" applyAlignment="1">
      <alignment horizontal="center" vertical="center" wrapText="1"/>
    </xf>
    <xf numFmtId="0" fontId="27" fillId="13" borderId="1" xfId="4" applyFont="1" applyFill="1" applyBorder="1" applyAlignment="1">
      <alignment horizontal="center" vertical="center"/>
    </xf>
    <xf numFmtId="0" fontId="27" fillId="0" borderId="1" xfId="4" applyFont="1" applyBorder="1" applyAlignment="1">
      <alignment horizontal="center" vertical="center"/>
    </xf>
    <xf numFmtId="0" fontId="4" fillId="0" borderId="1" xfId="4" applyFont="1" applyBorder="1" applyAlignment="1">
      <alignment horizontal="center" vertical="center"/>
    </xf>
    <xf numFmtId="0" fontId="4" fillId="15" borderId="1" xfId="4" applyFont="1" applyFill="1" applyBorder="1" applyAlignment="1" applyProtection="1">
      <alignment horizontal="center" vertical="center"/>
      <protection locked="0"/>
    </xf>
    <xf numFmtId="0" fontId="4" fillId="13" borderId="1" xfId="4" applyFont="1" applyFill="1" applyBorder="1" applyAlignment="1">
      <alignment horizontal="center" vertical="center"/>
    </xf>
    <xf numFmtId="0" fontId="4" fillId="14" borderId="1" xfId="4" applyFont="1" applyFill="1" applyBorder="1" applyAlignment="1">
      <alignment horizontal="center" vertical="center"/>
    </xf>
    <xf numFmtId="0" fontId="4" fillId="15" borderId="1" xfId="4" applyFont="1" applyFill="1" applyBorder="1" applyAlignment="1">
      <alignment horizontal="center" vertical="center"/>
    </xf>
    <xf numFmtId="2" fontId="2" fillId="3" borderId="3" xfId="0" applyNumberFormat="1" applyFont="1" applyFill="1" applyBorder="1" applyAlignment="1">
      <alignment horizontal="center" vertical="center"/>
    </xf>
    <xf numFmtId="2" fontId="2" fillId="3" borderId="1" xfId="0" applyNumberFormat="1" applyFont="1" applyFill="1" applyBorder="1" applyAlignment="1">
      <alignment horizontal="center" vertical="center"/>
    </xf>
    <xf numFmtId="2" fontId="2" fillId="3" borderId="7" xfId="0" applyNumberFormat="1" applyFont="1" applyFill="1" applyBorder="1" applyAlignment="1">
      <alignment horizontal="center" vertical="center"/>
    </xf>
    <xf numFmtId="2" fontId="4" fillId="3" borderId="3" xfId="0" applyNumberFormat="1" applyFont="1" applyFill="1" applyBorder="1" applyAlignment="1">
      <alignment horizontal="center" vertical="center"/>
    </xf>
    <xf numFmtId="2" fontId="4" fillId="3" borderId="1" xfId="0" applyNumberFormat="1" applyFont="1" applyFill="1" applyBorder="1" applyAlignment="1">
      <alignment horizontal="center" vertical="center"/>
    </xf>
    <xf numFmtId="2" fontId="4" fillId="3" borderId="7" xfId="0" applyNumberFormat="1" applyFont="1" applyFill="1" applyBorder="1" applyAlignment="1">
      <alignment horizontal="center" vertical="center"/>
    </xf>
    <xf numFmtId="2" fontId="0" fillId="0" borderId="1" xfId="0" applyNumberFormat="1" applyBorder="1" applyAlignment="1">
      <alignment horizontal="center" vertical="center"/>
    </xf>
    <xf numFmtId="0" fontId="23" fillId="0" borderId="1" xfId="4" applyFont="1" applyBorder="1" applyAlignment="1">
      <alignment horizontal="center" vertical="center" textRotation="90"/>
    </xf>
    <xf numFmtId="0" fontId="23" fillId="13" borderId="1" xfId="4" applyFont="1" applyFill="1" applyBorder="1" applyAlignment="1">
      <alignment horizontal="center" vertical="center" textRotation="90"/>
    </xf>
    <xf numFmtId="0" fontId="24" fillId="0" borderId="1" xfId="4" applyFont="1" applyBorder="1" applyAlignment="1">
      <alignment horizontal="center" vertical="center" textRotation="90"/>
    </xf>
    <xf numFmtId="0" fontId="26" fillId="0" borderId="1" xfId="4" applyFont="1" applyBorder="1" applyAlignment="1">
      <alignment horizontal="center" vertical="center" textRotation="90" wrapText="1"/>
    </xf>
    <xf numFmtId="0" fontId="25" fillId="13" borderId="1" xfId="4" applyFont="1" applyFill="1" applyBorder="1" applyAlignment="1">
      <alignment horizontal="center" vertical="center" textRotation="90"/>
    </xf>
    <xf numFmtId="0" fontId="10" fillId="15" borderId="1" xfId="4" applyFill="1" applyBorder="1" applyAlignment="1">
      <alignment horizontal="center" vertical="center" textRotation="90"/>
    </xf>
    <xf numFmtId="0" fontId="10" fillId="0" borderId="1" xfId="4" applyBorder="1" applyAlignment="1">
      <alignment horizontal="center" vertical="center" textRotation="90" wrapText="1"/>
    </xf>
    <xf numFmtId="2" fontId="2" fillId="0" borderId="31" xfId="0" applyNumberFormat="1" applyFont="1" applyBorder="1" applyAlignment="1">
      <alignment horizontal="center" vertical="center"/>
    </xf>
    <xf numFmtId="2" fontId="2" fillId="0" borderId="16" xfId="0" applyNumberFormat="1" applyFont="1" applyBorder="1" applyAlignment="1">
      <alignment horizontal="center" vertical="center"/>
    </xf>
    <xf numFmtId="2" fontId="2" fillId="0" borderId="16" xfId="0" applyNumberFormat="1" applyFont="1" applyBorder="1" applyAlignment="1">
      <alignment horizontal="center" vertical="center" wrapText="1"/>
    </xf>
    <xf numFmtId="2" fontId="2" fillId="0" borderId="24" xfId="0" applyNumberFormat="1" applyFont="1" applyBorder="1" applyAlignment="1">
      <alignment horizontal="center" vertical="center"/>
    </xf>
    <xf numFmtId="2" fontId="4" fillId="0" borderId="31" xfId="0" applyNumberFormat="1" applyFont="1" applyBorder="1" applyAlignment="1">
      <alignment horizontal="center" vertical="center"/>
    </xf>
    <xf numFmtId="2" fontId="4" fillId="0" borderId="24" xfId="0" applyNumberFormat="1" applyFont="1" applyBorder="1" applyAlignment="1">
      <alignment horizontal="center" vertical="center"/>
    </xf>
    <xf numFmtId="0" fontId="2" fillId="0" borderId="10" xfId="0" applyFont="1" applyBorder="1" applyAlignment="1">
      <alignment horizontal="center" vertical="center"/>
    </xf>
    <xf numFmtId="0" fontId="2" fillId="0" borderId="9" xfId="0" applyFont="1" applyBorder="1" applyAlignment="1">
      <alignment horizontal="center" vertical="center"/>
    </xf>
    <xf numFmtId="0" fontId="4" fillId="0" borderId="8" xfId="0" applyFont="1" applyBorder="1" applyAlignment="1">
      <alignment horizontal="center" vertical="center"/>
    </xf>
    <xf numFmtId="0" fontId="4" fillId="0" borderId="10" xfId="0" applyFont="1" applyBorder="1" applyAlignment="1">
      <alignment horizontal="center" vertical="center"/>
    </xf>
    <xf numFmtId="0" fontId="4" fillId="0" borderId="9" xfId="0" applyFont="1" applyBorder="1" applyAlignment="1">
      <alignment horizontal="center" vertical="center"/>
    </xf>
    <xf numFmtId="0" fontId="0" fillId="0" borderId="3" xfId="0" applyBorder="1"/>
    <xf numFmtId="0" fontId="0" fillId="0" borderId="7" xfId="0" applyBorder="1"/>
    <xf numFmtId="0" fontId="10" fillId="0" borderId="1" xfId="4" applyBorder="1" applyAlignment="1" applyProtection="1">
      <alignment horizontal="center" vertical="center" textRotation="90"/>
      <protection locked="0"/>
    </xf>
    <xf numFmtId="0" fontId="0" fillId="0" borderId="1" xfId="0" applyBorder="1" applyAlignment="1">
      <alignment horizontal="center" vertical="center" textRotation="90"/>
    </xf>
    <xf numFmtId="0" fontId="0" fillId="0" borderId="31" xfId="0" applyBorder="1"/>
    <xf numFmtId="0" fontId="0" fillId="0" borderId="16" xfId="0" applyBorder="1"/>
    <xf numFmtId="0" fontId="0" fillId="0" borderId="24" xfId="0" applyBorder="1"/>
    <xf numFmtId="0" fontId="0" fillId="3" borderId="3" xfId="0" applyFill="1" applyBorder="1"/>
    <xf numFmtId="0" fontId="0" fillId="3" borderId="1" xfId="0" applyFill="1" applyBorder="1"/>
    <xf numFmtId="0" fontId="0" fillId="3" borderId="7" xfId="0" applyFill="1" applyBorder="1"/>
    <xf numFmtId="0" fontId="10" fillId="13" borderId="1" xfId="4" applyFill="1" applyBorder="1" applyAlignment="1" applyProtection="1">
      <alignment horizontal="center" vertical="center" textRotation="90"/>
      <protection locked="0"/>
    </xf>
    <xf numFmtId="0" fontId="4" fillId="13" borderId="1" xfId="4" applyFont="1" applyFill="1" applyBorder="1" applyAlignment="1" applyProtection="1">
      <alignment horizontal="center" vertical="center"/>
      <protection locked="0"/>
    </xf>
    <xf numFmtId="0" fontId="5" fillId="13" borderId="1" xfId="0" applyFont="1" applyFill="1" applyBorder="1" applyAlignment="1" applyProtection="1">
      <alignment horizontal="center"/>
      <protection locked="0"/>
    </xf>
    <xf numFmtId="0" fontId="2" fillId="13" borderId="1" xfId="0" applyFont="1" applyFill="1" applyBorder="1" applyAlignment="1">
      <alignment horizontal="center"/>
    </xf>
    <xf numFmtId="0" fontId="0" fillId="13" borderId="3" xfId="0" applyFill="1" applyBorder="1"/>
    <xf numFmtId="0" fontId="0" fillId="13" borderId="1" xfId="0" applyFill="1" applyBorder="1"/>
    <xf numFmtId="0" fontId="0" fillId="13" borderId="7" xfId="0" applyFill="1" applyBorder="1"/>
    <xf numFmtId="0" fontId="10" fillId="13" borderId="1" xfId="4" applyFill="1" applyBorder="1" applyAlignment="1">
      <alignment horizontal="center" vertical="center" textRotation="90"/>
    </xf>
    <xf numFmtId="0" fontId="6" fillId="13" borderId="1" xfId="0" applyFont="1" applyFill="1" applyBorder="1" applyAlignment="1">
      <alignment horizontal="center"/>
    </xf>
    <xf numFmtId="0" fontId="0" fillId="0" borderId="0" xfId="0"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2" fontId="2" fillId="0" borderId="18" xfId="0" applyNumberFormat="1" applyFont="1" applyBorder="1" applyAlignment="1" applyProtection="1">
      <alignment vertical="center" wrapText="1"/>
      <protection locked="0"/>
    </xf>
    <xf numFmtId="0" fontId="2" fillId="3" borderId="3" xfId="0"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wrapText="1"/>
      <protection locked="0"/>
    </xf>
    <xf numFmtId="0" fontId="2" fillId="3" borderId="7" xfId="0" applyFont="1" applyFill="1" applyBorder="1" applyAlignment="1" applyProtection="1">
      <alignment horizontal="center" vertical="center" wrapText="1"/>
      <protection locked="0"/>
    </xf>
    <xf numFmtId="0" fontId="4" fillId="3" borderId="3" xfId="0" applyFont="1" applyFill="1" applyBorder="1" applyAlignment="1" applyProtection="1">
      <alignment horizontal="center" vertical="center" wrapText="1"/>
      <protection locked="0"/>
    </xf>
    <xf numFmtId="0" fontId="4" fillId="3" borderId="1" xfId="0" applyFont="1" applyFill="1" applyBorder="1" applyAlignment="1" applyProtection="1">
      <alignment horizontal="center" vertical="center" wrapText="1"/>
      <protection locked="0"/>
    </xf>
    <xf numFmtId="0" fontId="4" fillId="3" borderId="7" xfId="0" applyFont="1" applyFill="1" applyBorder="1" applyAlignment="1" applyProtection="1">
      <alignment horizontal="center" vertical="center" wrapText="1"/>
      <protection locked="0"/>
    </xf>
    <xf numFmtId="0" fontId="2" fillId="13" borderId="3" xfId="0" applyFont="1" applyFill="1" applyBorder="1" applyAlignment="1" applyProtection="1">
      <alignment horizontal="center" vertical="center" wrapText="1"/>
      <protection locked="0"/>
    </xf>
    <xf numFmtId="0" fontId="2" fillId="13" borderId="1" xfId="0" applyFont="1" applyFill="1" applyBorder="1" applyAlignment="1" applyProtection="1">
      <alignment horizontal="center" vertical="center" wrapText="1"/>
      <protection locked="0"/>
    </xf>
    <xf numFmtId="0" fontId="2" fillId="13" borderId="7" xfId="0" applyFont="1" applyFill="1" applyBorder="1" applyAlignment="1" applyProtection="1">
      <alignment horizontal="center" vertical="center" wrapText="1"/>
      <protection locked="0"/>
    </xf>
    <xf numFmtId="0" fontId="4" fillId="13" borderId="3" xfId="0" applyFont="1" applyFill="1" applyBorder="1" applyAlignment="1" applyProtection="1">
      <alignment horizontal="center" vertical="center" wrapText="1"/>
      <protection locked="0"/>
    </xf>
    <xf numFmtId="0" fontId="4" fillId="13" borderId="1" xfId="0" applyFont="1" applyFill="1" applyBorder="1" applyAlignment="1" applyProtection="1">
      <alignment horizontal="center" vertical="center" wrapText="1"/>
      <protection locked="0"/>
    </xf>
    <xf numFmtId="0" fontId="4" fillId="13" borderId="7" xfId="0" applyFont="1" applyFill="1" applyBorder="1" applyAlignment="1" applyProtection="1">
      <alignment horizontal="center" vertical="center" wrapText="1"/>
      <protection locked="0"/>
    </xf>
    <xf numFmtId="0" fontId="2" fillId="3" borderId="2" xfId="0" applyFont="1" applyFill="1" applyBorder="1" applyAlignment="1">
      <alignment horizontal="center"/>
    </xf>
    <xf numFmtId="0" fontId="2" fillId="13" borderId="2" xfId="0" applyFont="1" applyFill="1" applyBorder="1" applyAlignment="1">
      <alignment horizontal="center"/>
    </xf>
    <xf numFmtId="0" fontId="2" fillId="0" borderId="8"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0" fontId="2" fillId="4" borderId="3" xfId="0" applyFont="1" applyFill="1" applyBorder="1" applyAlignment="1" applyProtection="1">
      <alignment horizontal="center" vertical="center" wrapText="1"/>
      <protection locked="0"/>
    </xf>
    <xf numFmtId="0" fontId="2" fillId="16" borderId="3" xfId="0" applyFont="1" applyFill="1" applyBorder="1" applyAlignment="1" applyProtection="1">
      <alignment horizontal="center" vertical="center" wrapText="1"/>
      <protection locked="0"/>
    </xf>
    <xf numFmtId="0" fontId="0" fillId="4" borderId="8" xfId="0" applyFill="1" applyBorder="1"/>
    <xf numFmtId="0" fontId="2" fillId="4" borderId="1" xfId="0" applyFont="1" applyFill="1" applyBorder="1" applyAlignment="1" applyProtection="1">
      <alignment horizontal="center" vertical="center" wrapText="1"/>
      <protection locked="0"/>
    </xf>
    <xf numFmtId="0" fontId="2" fillId="16" borderId="1" xfId="0" applyFont="1" applyFill="1" applyBorder="1" applyAlignment="1" applyProtection="1">
      <alignment horizontal="center" vertical="center" wrapText="1"/>
      <protection locked="0"/>
    </xf>
    <xf numFmtId="0" fontId="0" fillId="4" borderId="10" xfId="0" applyFill="1" applyBorder="1"/>
    <xf numFmtId="0" fontId="4" fillId="4" borderId="1" xfId="0" applyFont="1" applyFill="1" applyBorder="1" applyAlignment="1" applyProtection="1">
      <alignment horizontal="center" vertical="center" wrapText="1"/>
      <protection locked="0"/>
    </xf>
    <xf numFmtId="0" fontId="4" fillId="4" borderId="3" xfId="0" applyFont="1" applyFill="1" applyBorder="1" applyAlignment="1" applyProtection="1">
      <alignment horizontal="center" vertical="center" wrapText="1"/>
      <protection locked="0"/>
    </xf>
    <xf numFmtId="0" fontId="4" fillId="16" borderId="3" xfId="0" applyFont="1" applyFill="1" applyBorder="1" applyAlignment="1" applyProtection="1">
      <alignment horizontal="center" vertical="center" wrapText="1"/>
      <protection locked="0"/>
    </xf>
    <xf numFmtId="0" fontId="4" fillId="16" borderId="1" xfId="0" applyFont="1" applyFill="1" applyBorder="1" applyAlignment="1" applyProtection="1">
      <alignment horizontal="center" vertical="center" wrapText="1"/>
      <protection locked="0"/>
    </xf>
    <xf numFmtId="0" fontId="4" fillId="4" borderId="7" xfId="0" applyFont="1" applyFill="1" applyBorder="1" applyAlignment="1" applyProtection="1">
      <alignment horizontal="center" vertical="center" wrapText="1"/>
      <protection locked="0"/>
    </xf>
    <xf numFmtId="0" fontId="4" fillId="16" borderId="7" xfId="0" applyFont="1" applyFill="1" applyBorder="1" applyAlignment="1" applyProtection="1">
      <alignment horizontal="center" vertical="center" wrapText="1"/>
      <protection locked="0"/>
    </xf>
    <xf numFmtId="0" fontId="0" fillId="4" borderId="9" xfId="0" applyFill="1" applyBorder="1"/>
    <xf numFmtId="0" fontId="2" fillId="17" borderId="31" xfId="0" applyFont="1" applyFill="1" applyBorder="1" applyAlignment="1" applyProtection="1">
      <alignment horizontal="center" vertical="center" wrapText="1"/>
      <protection locked="0"/>
    </xf>
    <xf numFmtId="0" fontId="2" fillId="17" borderId="16" xfId="0" applyFont="1" applyFill="1" applyBorder="1" applyAlignment="1" applyProtection="1">
      <alignment horizontal="center" vertical="center" wrapText="1"/>
      <protection locked="0"/>
    </xf>
    <xf numFmtId="0" fontId="2" fillId="17" borderId="24" xfId="0" applyFont="1" applyFill="1" applyBorder="1" applyAlignment="1" applyProtection="1">
      <alignment horizontal="center" vertical="center" wrapText="1"/>
      <protection locked="0"/>
    </xf>
    <xf numFmtId="0" fontId="4" fillId="17" borderId="31" xfId="0" applyFont="1" applyFill="1" applyBorder="1" applyAlignment="1" applyProtection="1">
      <alignment horizontal="center" vertical="center" wrapText="1"/>
      <protection locked="0"/>
    </xf>
    <xf numFmtId="0" fontId="4" fillId="17" borderId="16" xfId="0" applyFont="1" applyFill="1" applyBorder="1" applyAlignment="1" applyProtection="1">
      <alignment horizontal="center" vertical="center" wrapText="1"/>
      <protection locked="0"/>
    </xf>
    <xf numFmtId="0" fontId="4" fillId="17" borderId="24" xfId="0" applyFont="1" applyFill="1" applyBorder="1" applyAlignment="1" applyProtection="1">
      <alignment horizontal="center" vertical="center" wrapText="1"/>
      <protection locked="0"/>
    </xf>
    <xf numFmtId="0" fontId="10" fillId="17" borderId="1" xfId="4" applyFill="1" applyBorder="1" applyAlignment="1">
      <alignment horizontal="center" vertical="center" textRotation="90"/>
    </xf>
    <xf numFmtId="0" fontId="27" fillId="17" borderId="1" xfId="4" applyFont="1" applyFill="1" applyBorder="1" applyAlignment="1">
      <alignment horizontal="center" vertical="center" wrapText="1"/>
    </xf>
    <xf numFmtId="0" fontId="4" fillId="17" borderId="1" xfId="4" applyFont="1" applyFill="1" applyBorder="1" applyAlignment="1">
      <alignment horizontal="center" vertical="center" wrapText="1"/>
    </xf>
    <xf numFmtId="0" fontId="5" fillId="17" borderId="1" xfId="0" applyFont="1" applyFill="1" applyBorder="1" applyAlignment="1" applyProtection="1">
      <alignment horizontal="center"/>
      <protection locked="0"/>
    </xf>
    <xf numFmtId="0" fontId="2" fillId="17" borderId="1" xfId="0" applyFont="1" applyFill="1" applyBorder="1" applyAlignment="1">
      <alignment horizontal="center"/>
    </xf>
    <xf numFmtId="0" fontId="2" fillId="17" borderId="2" xfId="0" applyFont="1" applyFill="1" applyBorder="1" applyAlignment="1">
      <alignment horizontal="center"/>
    </xf>
    <xf numFmtId="0" fontId="2" fillId="17" borderId="3" xfId="0" applyFont="1" applyFill="1" applyBorder="1" applyAlignment="1" applyProtection="1">
      <alignment horizontal="center" vertical="center" wrapText="1"/>
      <protection locked="0"/>
    </xf>
    <xf numFmtId="0" fontId="2" fillId="17" borderId="1" xfId="0" applyFont="1" applyFill="1" applyBorder="1" applyAlignment="1" applyProtection="1">
      <alignment horizontal="center" vertical="center" wrapText="1"/>
      <protection locked="0"/>
    </xf>
    <xf numFmtId="0" fontId="2" fillId="17" borderId="7" xfId="0" applyFont="1" applyFill="1" applyBorder="1" applyAlignment="1" applyProtection="1">
      <alignment horizontal="center" vertical="center" wrapText="1"/>
      <protection locked="0"/>
    </xf>
    <xf numFmtId="0" fontId="4" fillId="17" borderId="3" xfId="0" applyFont="1" applyFill="1" applyBorder="1" applyAlignment="1" applyProtection="1">
      <alignment horizontal="center" vertical="center" wrapText="1"/>
      <protection locked="0"/>
    </xf>
    <xf numFmtId="0" fontId="4" fillId="17" borderId="1" xfId="0" applyFont="1" applyFill="1" applyBorder="1" applyAlignment="1" applyProtection="1">
      <alignment horizontal="center" vertical="center" wrapText="1"/>
      <protection locked="0"/>
    </xf>
    <xf numFmtId="0" fontId="4" fillId="17" borderId="7" xfId="0" applyFont="1" applyFill="1" applyBorder="1" applyAlignment="1" applyProtection="1">
      <alignment horizontal="center" vertical="center" wrapText="1"/>
      <protection locked="0"/>
    </xf>
    <xf numFmtId="0" fontId="2" fillId="4" borderId="7" xfId="0" applyFont="1" applyFill="1" applyBorder="1" applyAlignment="1" applyProtection="1">
      <alignment horizontal="center" vertical="center" wrapText="1"/>
      <protection locked="0"/>
    </xf>
    <xf numFmtId="0" fontId="4" fillId="0" borderId="2" xfId="0" applyFont="1" applyBorder="1" applyAlignment="1">
      <alignment horizontal="center" vertical="center"/>
    </xf>
    <xf numFmtId="2" fontId="4" fillId="0" borderId="2" xfId="0" applyNumberFormat="1" applyFont="1" applyBorder="1" applyAlignment="1">
      <alignment horizontal="center" vertical="center"/>
    </xf>
    <xf numFmtId="0" fontId="0" fillId="0" borderId="15" xfId="0" applyBorder="1" applyAlignment="1">
      <alignment horizontal="center" vertical="center"/>
    </xf>
    <xf numFmtId="0" fontId="4" fillId="0" borderId="2" xfId="0" applyFont="1" applyBorder="1" applyAlignment="1">
      <alignment horizontal="center" vertical="center" wrapText="1"/>
    </xf>
    <xf numFmtId="0" fontId="10" fillId="3" borderId="1" xfId="4" applyFill="1" applyBorder="1" applyAlignment="1">
      <alignment horizontal="center" vertical="center" textRotation="90"/>
    </xf>
    <xf numFmtId="0" fontId="0" fillId="3" borderId="1" xfId="0" applyFill="1" applyBorder="1" applyAlignment="1">
      <alignment horizontal="center" vertical="center"/>
    </xf>
    <xf numFmtId="0" fontId="0" fillId="3" borderId="7"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23" fillId="3" borderId="1" xfId="4" applyFont="1" applyFill="1" applyBorder="1" applyAlignment="1">
      <alignment horizontal="center" vertical="center" textRotation="90"/>
    </xf>
    <xf numFmtId="0" fontId="27" fillId="3" borderId="1" xfId="4" applyFont="1" applyFill="1" applyBorder="1" applyAlignment="1">
      <alignment horizontal="center" vertical="center"/>
    </xf>
    <xf numFmtId="0" fontId="10" fillId="3" borderId="1" xfId="4" applyFill="1" applyBorder="1" applyAlignment="1" applyProtection="1">
      <alignment horizontal="center" vertical="center" textRotation="90"/>
      <protection locked="0"/>
    </xf>
    <xf numFmtId="0" fontId="25" fillId="3" borderId="1" xfId="4" applyFont="1" applyFill="1" applyBorder="1" applyAlignment="1">
      <alignment horizontal="center" vertical="center" textRotation="90"/>
    </xf>
    <xf numFmtId="0" fontId="4" fillId="3" borderId="1" xfId="4" applyFont="1" applyFill="1" applyBorder="1" applyAlignment="1" applyProtection="1">
      <alignment horizontal="center" vertical="center"/>
      <protection locked="0"/>
    </xf>
    <xf numFmtId="0" fontId="4" fillId="3" borderId="1" xfId="4" applyFont="1" applyFill="1" applyBorder="1" applyAlignment="1">
      <alignment horizontal="center" vertical="center"/>
    </xf>
    <xf numFmtId="2" fontId="2" fillId="17" borderId="3" xfId="0" applyNumberFormat="1" applyFont="1" applyFill="1" applyBorder="1" applyAlignment="1">
      <alignment horizontal="center" vertical="center"/>
    </xf>
    <xf numFmtId="2" fontId="2" fillId="17" borderId="7" xfId="0" applyNumberFormat="1" applyFont="1" applyFill="1" applyBorder="1" applyAlignment="1">
      <alignment horizontal="center" vertical="center"/>
    </xf>
    <xf numFmtId="2" fontId="2" fillId="17" borderId="1" xfId="0" applyNumberFormat="1" applyFont="1" applyFill="1" applyBorder="1" applyAlignment="1">
      <alignment horizontal="center" vertical="center"/>
    </xf>
    <xf numFmtId="2" fontId="4" fillId="17" borderId="3" xfId="0" applyNumberFormat="1" applyFont="1" applyFill="1" applyBorder="1" applyAlignment="1">
      <alignment horizontal="center" vertical="center"/>
    </xf>
    <xf numFmtId="2" fontId="4" fillId="17" borderId="1" xfId="0" applyNumberFormat="1" applyFont="1" applyFill="1" applyBorder="1" applyAlignment="1">
      <alignment horizontal="center" vertical="center"/>
    </xf>
    <xf numFmtId="2" fontId="4" fillId="17" borderId="7" xfId="0" applyNumberFormat="1" applyFont="1" applyFill="1" applyBorder="1" applyAlignment="1">
      <alignment horizontal="center" vertical="center"/>
    </xf>
    <xf numFmtId="0" fontId="0" fillId="17" borderId="1" xfId="0" applyFill="1" applyBorder="1" applyAlignment="1">
      <alignment horizontal="center" vertical="center"/>
    </xf>
    <xf numFmtId="0" fontId="0" fillId="17" borderId="7" xfId="0" applyFill="1" applyBorder="1" applyAlignment="1">
      <alignment horizontal="center" vertical="center"/>
    </xf>
    <xf numFmtId="0" fontId="0" fillId="17" borderId="3" xfId="0" applyFill="1" applyBorder="1" applyAlignment="1">
      <alignment horizontal="center" vertical="center"/>
    </xf>
    <xf numFmtId="0" fontId="0" fillId="17" borderId="2" xfId="0" applyFill="1" applyBorder="1" applyAlignment="1">
      <alignment horizontal="center" vertical="center"/>
    </xf>
    <xf numFmtId="0" fontId="10" fillId="17" borderId="1" xfId="4" applyFill="1" applyBorder="1" applyAlignment="1">
      <alignment horizontal="center" vertical="center"/>
    </xf>
    <xf numFmtId="0" fontId="27" fillId="17" borderId="1" xfId="4" applyFont="1" applyFill="1" applyBorder="1" applyAlignment="1">
      <alignment horizontal="center" vertical="center"/>
    </xf>
    <xf numFmtId="0" fontId="4" fillId="17" borderId="1" xfId="4" applyFont="1" applyFill="1" applyBorder="1" applyAlignment="1">
      <alignment horizontal="center" vertical="center"/>
    </xf>
    <xf numFmtId="0" fontId="6" fillId="17" borderId="1" xfId="0" applyFont="1" applyFill="1" applyBorder="1" applyAlignment="1">
      <alignment horizontal="center"/>
    </xf>
    <xf numFmtId="0" fontId="10" fillId="17" borderId="1" xfId="4" applyFill="1" applyBorder="1" applyAlignment="1">
      <alignment horizontal="center" vertical="center" textRotation="90" wrapText="1"/>
    </xf>
    <xf numFmtId="0" fontId="23" fillId="18" borderId="1" xfId="4" applyFont="1" applyFill="1" applyBorder="1" applyAlignment="1">
      <alignment horizontal="center" vertical="center" textRotation="90"/>
    </xf>
    <xf numFmtId="0" fontId="23" fillId="17" borderId="1" xfId="4" applyFont="1" applyFill="1" applyBorder="1" applyAlignment="1">
      <alignment horizontal="center" vertical="center"/>
    </xf>
    <xf numFmtId="0" fontId="26" fillId="17" borderId="1" xfId="4" applyFont="1" applyFill="1" applyBorder="1" applyAlignment="1">
      <alignment horizontal="center" vertical="center" textRotation="90" wrapText="1"/>
    </xf>
    <xf numFmtId="0" fontId="0" fillId="17" borderId="1" xfId="0" applyFill="1" applyBorder="1"/>
    <xf numFmtId="0" fontId="0" fillId="17" borderId="7" xfId="0" applyFill="1" applyBorder="1"/>
    <xf numFmtId="0" fontId="0" fillId="17" borderId="3" xfId="0" applyFill="1" applyBorder="1"/>
    <xf numFmtId="0" fontId="2" fillId="0" borderId="21" xfId="0" applyFont="1" applyBorder="1" applyAlignment="1" applyProtection="1">
      <alignment horizontal="center" vertical="center" wrapText="1"/>
      <protection locked="0"/>
    </xf>
    <xf numFmtId="2" fontId="0" fillId="17" borderId="1" xfId="0" applyNumberFormat="1" applyFill="1" applyBorder="1" applyAlignment="1">
      <alignment horizontal="center" vertical="center"/>
    </xf>
    <xf numFmtId="166" fontId="2" fillId="0" borderId="3" xfId="0" applyNumberFormat="1" applyFont="1" applyBorder="1" applyAlignment="1" applyProtection="1">
      <alignment horizontal="center" vertical="center" wrapText="1"/>
      <protection locked="0"/>
    </xf>
    <xf numFmtId="166" fontId="2" fillId="0" borderId="1" xfId="0" applyNumberFormat="1" applyFont="1" applyBorder="1" applyAlignment="1" applyProtection="1">
      <alignment horizontal="center" vertical="center" wrapText="1"/>
      <protection locked="0"/>
    </xf>
    <xf numFmtId="166" fontId="2" fillId="0" borderId="7" xfId="0" applyNumberFormat="1" applyFont="1" applyBorder="1" applyAlignment="1" applyProtection="1">
      <alignment horizontal="center" vertical="center" wrapText="1"/>
      <protection locked="0"/>
    </xf>
    <xf numFmtId="0" fontId="26" fillId="0" borderId="1" xfId="4" applyFont="1" applyBorder="1" applyAlignment="1">
      <alignment horizontal="center" vertical="center" textRotation="90"/>
    </xf>
    <xf numFmtId="0" fontId="26" fillId="13" borderId="1" xfId="4" applyFont="1" applyFill="1" applyBorder="1" applyAlignment="1">
      <alignment horizontal="center" vertical="center" textRotation="90"/>
    </xf>
    <xf numFmtId="0" fontId="28" fillId="0" borderId="1" xfId="4" applyFont="1" applyBorder="1" applyAlignment="1">
      <alignment horizontal="center" vertical="center" textRotation="90"/>
    </xf>
    <xf numFmtId="0" fontId="26" fillId="12" borderId="1" xfId="4" applyFont="1" applyFill="1" applyBorder="1" applyAlignment="1">
      <alignment horizontal="center" vertical="center" textRotation="90"/>
    </xf>
    <xf numFmtId="0" fontId="26" fillId="0" borderId="1" xfId="4" applyFont="1" applyBorder="1" applyAlignment="1">
      <alignment horizontal="center" vertical="center"/>
    </xf>
    <xf numFmtId="0" fontId="4" fillId="4" borderId="3" xfId="0" applyFont="1" applyFill="1" applyBorder="1"/>
    <xf numFmtId="0" fontId="4" fillId="4" borderId="1" xfId="0" applyFont="1" applyFill="1" applyBorder="1"/>
    <xf numFmtId="0" fontId="4" fillId="17" borderId="1" xfId="0" applyFont="1" applyFill="1" applyBorder="1"/>
    <xf numFmtId="0" fontId="4" fillId="0" borderId="1" xfId="0" applyFont="1" applyBorder="1"/>
    <xf numFmtId="0" fontId="4" fillId="17" borderId="7" xfId="0" applyFont="1" applyFill="1" applyBorder="1"/>
    <xf numFmtId="0" fontId="4" fillId="17" borderId="3" xfId="0" applyFont="1" applyFill="1" applyBorder="1"/>
    <xf numFmtId="0" fontId="4" fillId="4" borderId="7" xfId="0" applyFont="1" applyFill="1" applyBorder="1"/>
    <xf numFmtId="0" fontId="2" fillId="17" borderId="11" xfId="0" applyFont="1" applyFill="1" applyBorder="1" applyAlignment="1" applyProtection="1">
      <alignment horizontal="center" vertical="center" wrapText="1"/>
      <protection locked="0"/>
    </xf>
    <xf numFmtId="0" fontId="2" fillId="3" borderId="11" xfId="0" applyFont="1" applyFill="1" applyBorder="1" applyAlignment="1" applyProtection="1">
      <alignment horizontal="center" vertical="center" wrapText="1"/>
      <protection locked="0"/>
    </xf>
    <xf numFmtId="0" fontId="2" fillId="13" borderId="11" xfId="0" applyFont="1" applyFill="1" applyBorder="1" applyAlignment="1" applyProtection="1">
      <alignment horizontal="center" vertical="center" wrapText="1"/>
      <protection locked="0"/>
    </xf>
    <xf numFmtId="0" fontId="2" fillId="17" borderId="21" xfId="0" applyFont="1" applyFill="1" applyBorder="1" applyAlignment="1" applyProtection="1">
      <alignment horizontal="center" vertical="center" wrapText="1"/>
      <protection locked="0"/>
    </xf>
    <xf numFmtId="0" fontId="2" fillId="3" borderId="21" xfId="0" applyFont="1" applyFill="1" applyBorder="1" applyAlignment="1" applyProtection="1">
      <alignment horizontal="center" vertical="center" wrapText="1"/>
      <protection locked="0"/>
    </xf>
    <xf numFmtId="0" fontId="2" fillId="13" borderId="21" xfId="0" applyFont="1" applyFill="1" applyBorder="1" applyAlignment="1" applyProtection="1">
      <alignment horizontal="center" vertical="center" wrapText="1"/>
      <protection locked="0"/>
    </xf>
    <xf numFmtId="0" fontId="2" fillId="4" borderId="21" xfId="0" applyFont="1" applyFill="1" applyBorder="1" applyAlignment="1" applyProtection="1">
      <alignment horizontal="center" vertical="center" wrapText="1"/>
      <protection locked="0"/>
    </xf>
    <xf numFmtId="0" fontId="0" fillId="4" borderId="22" xfId="0" applyFill="1" applyBorder="1"/>
    <xf numFmtId="0" fontId="0" fillId="17" borderId="40" xfId="0" applyFill="1" applyBorder="1"/>
    <xf numFmtId="0" fontId="0" fillId="17" borderId="10" xfId="0" applyFill="1" applyBorder="1"/>
    <xf numFmtId="0" fontId="0" fillId="17" borderId="9" xfId="0" applyFill="1" applyBorder="1"/>
    <xf numFmtId="0" fontId="0" fillId="17" borderId="8" xfId="0" applyFill="1" applyBorder="1"/>
    <xf numFmtId="0" fontId="2" fillId="16" borderId="21" xfId="0" applyFont="1" applyFill="1" applyBorder="1" applyAlignment="1" applyProtection="1">
      <alignment horizontal="center" vertical="center" wrapText="1"/>
      <protection locked="0"/>
    </xf>
    <xf numFmtId="0" fontId="0" fillId="16" borderId="8" xfId="0" applyFill="1" applyBorder="1"/>
    <xf numFmtId="0" fontId="0" fillId="16" borderId="10" xfId="0" applyFill="1" applyBorder="1"/>
    <xf numFmtId="0" fontId="0" fillId="16" borderId="22" xfId="0" applyFill="1" applyBorder="1"/>
    <xf numFmtId="0" fontId="2" fillId="16" borderId="7" xfId="0" applyFont="1" applyFill="1" applyBorder="1" applyAlignment="1" applyProtection="1">
      <alignment horizontal="center" vertical="center" wrapText="1"/>
      <protection locked="0"/>
    </xf>
    <xf numFmtId="0" fontId="0" fillId="16" borderId="9" xfId="0" applyFill="1" applyBorder="1"/>
    <xf numFmtId="0" fontId="23" fillId="17" borderId="1" xfId="4" applyFont="1" applyFill="1" applyBorder="1" applyAlignment="1">
      <alignment horizontal="center" vertical="center" textRotation="90"/>
    </xf>
    <xf numFmtId="2" fontId="2" fillId="4" borderId="3" xfId="0" applyNumberFormat="1" applyFont="1" applyFill="1" applyBorder="1" applyAlignment="1">
      <alignment horizontal="center" vertical="center"/>
    </xf>
    <xf numFmtId="2" fontId="2" fillId="4" borderId="7" xfId="0" applyNumberFormat="1" applyFont="1" applyFill="1" applyBorder="1" applyAlignment="1">
      <alignment horizontal="center" vertical="center"/>
    </xf>
    <xf numFmtId="2" fontId="2" fillId="4" borderId="1" xfId="0" applyNumberFormat="1" applyFont="1" applyFill="1" applyBorder="1" applyAlignment="1">
      <alignment horizontal="center" vertical="center"/>
    </xf>
    <xf numFmtId="2" fontId="4" fillId="4" borderId="3" xfId="0" applyNumberFormat="1" applyFont="1" applyFill="1" applyBorder="1" applyAlignment="1">
      <alignment horizontal="center" vertical="center"/>
    </xf>
    <xf numFmtId="2" fontId="4" fillId="4" borderId="1" xfId="0" applyNumberFormat="1" applyFont="1" applyFill="1" applyBorder="1" applyAlignment="1">
      <alignment horizontal="center" vertical="center"/>
    </xf>
    <xf numFmtId="2" fontId="4" fillId="4" borderId="7" xfId="0" applyNumberFormat="1" applyFont="1" applyFill="1" applyBorder="1" applyAlignment="1">
      <alignment horizontal="center" vertical="center"/>
    </xf>
    <xf numFmtId="0" fontId="0" fillId="4" borderId="1" xfId="0" applyFill="1" applyBorder="1" applyAlignment="1">
      <alignment horizontal="center" vertical="center"/>
    </xf>
    <xf numFmtId="0" fontId="0" fillId="4" borderId="3" xfId="0" applyFill="1" applyBorder="1" applyAlignment="1">
      <alignment horizontal="center" vertical="center"/>
    </xf>
    <xf numFmtId="0" fontId="0" fillId="4" borderId="7" xfId="0" applyFill="1" applyBorder="1" applyAlignment="1">
      <alignment horizontal="center" vertical="center"/>
    </xf>
    <xf numFmtId="0" fontId="0" fillId="2" borderId="1" xfId="0" applyFill="1" applyBorder="1" applyAlignment="1">
      <alignment horizontal="center" vertical="center"/>
    </xf>
    <xf numFmtId="0" fontId="0" fillId="2" borderId="7" xfId="0" applyFill="1" applyBorder="1" applyAlignment="1">
      <alignment horizontal="center" vertical="center"/>
    </xf>
    <xf numFmtId="0" fontId="0" fillId="2" borderId="3" xfId="0" applyFill="1" applyBorder="1" applyAlignment="1">
      <alignment horizontal="center" vertical="center"/>
    </xf>
    <xf numFmtId="0" fontId="0" fillId="2" borderId="2" xfId="0" applyFill="1" applyBorder="1" applyAlignment="1">
      <alignment horizontal="center" vertical="center"/>
    </xf>
    <xf numFmtId="0" fontId="9" fillId="17" borderId="1" xfId="4" applyFont="1" applyFill="1" applyBorder="1" applyAlignment="1">
      <alignment horizontal="center" vertical="center" textRotation="90"/>
    </xf>
    <xf numFmtId="0" fontId="2" fillId="17" borderId="1" xfId="4" applyFont="1" applyFill="1" applyBorder="1" applyAlignment="1">
      <alignment horizontal="center" vertical="center" wrapText="1"/>
    </xf>
    <xf numFmtId="0" fontId="3" fillId="17" borderId="7" xfId="0" applyFont="1" applyFill="1" applyBorder="1" applyAlignment="1">
      <alignment horizontal="center" vertical="center"/>
    </xf>
    <xf numFmtId="0" fontId="3" fillId="17" borderId="3" xfId="0" applyFont="1" applyFill="1" applyBorder="1" applyAlignment="1">
      <alignment horizontal="center" vertical="center"/>
    </xf>
    <xf numFmtId="0" fontId="3" fillId="17" borderId="1" xfId="0" applyFont="1" applyFill="1" applyBorder="1" applyAlignment="1">
      <alignment horizontal="center" vertical="center"/>
    </xf>
    <xf numFmtId="0" fontId="3" fillId="17" borderId="2" xfId="0" applyFont="1" applyFill="1" applyBorder="1" applyAlignment="1">
      <alignment horizontal="center" vertical="center"/>
    </xf>
    <xf numFmtId="0" fontId="5" fillId="17" borderId="1" xfId="0" applyFont="1" applyFill="1" applyBorder="1" applyAlignment="1" applyProtection="1">
      <alignment horizontal="center" vertical="center"/>
      <protection locked="0"/>
    </xf>
    <xf numFmtId="0" fontId="5" fillId="3" borderId="1" xfId="0" applyFont="1" applyFill="1" applyBorder="1" applyAlignment="1" applyProtection="1">
      <alignment horizontal="center" vertical="center"/>
      <protection locked="0"/>
    </xf>
    <xf numFmtId="0" fontId="6" fillId="17" borderId="1" xfId="0" applyFont="1" applyFill="1" applyBorder="1" applyAlignment="1">
      <alignment horizontal="center" vertical="center"/>
    </xf>
    <xf numFmtId="0" fontId="6" fillId="3" borderId="1" xfId="0" applyFont="1" applyFill="1" applyBorder="1" applyAlignment="1">
      <alignment horizontal="center" vertical="center"/>
    </xf>
    <xf numFmtId="0" fontId="2" fillId="17"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17"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17" borderId="7" xfId="0" applyFont="1" applyFill="1" applyBorder="1" applyAlignment="1">
      <alignment horizontal="center" vertical="center"/>
    </xf>
    <xf numFmtId="0" fontId="2" fillId="3" borderId="7" xfId="0" applyFont="1" applyFill="1" applyBorder="1" applyAlignment="1">
      <alignment horizontal="center" vertical="center"/>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9" fillId="0" borderId="7" xfId="0" applyFont="1" applyBorder="1" applyAlignment="1">
      <alignment horizontal="center" vertical="center"/>
    </xf>
    <xf numFmtId="0" fontId="2" fillId="0" borderId="19" xfId="0" applyFont="1" applyBorder="1" applyAlignment="1" applyProtection="1">
      <alignment vertical="center" wrapText="1"/>
      <protection locked="0"/>
    </xf>
    <xf numFmtId="0" fontId="2" fillId="0" borderId="30" xfId="0" applyFont="1" applyBorder="1" applyAlignment="1" applyProtection="1">
      <alignment vertical="center" wrapText="1"/>
      <protection locked="0"/>
    </xf>
    <xf numFmtId="0" fontId="2" fillId="19" borderId="1" xfId="0" applyFont="1" applyFill="1" applyBorder="1" applyAlignment="1">
      <alignment horizontal="center" vertical="center"/>
    </xf>
    <xf numFmtId="0" fontId="2" fillId="0" borderId="8" xfId="0" applyFont="1" applyBorder="1" applyAlignment="1">
      <alignment horizontal="center" vertical="center"/>
    </xf>
    <xf numFmtId="0" fontId="2" fillId="19" borderId="7" xfId="0" applyFont="1" applyFill="1" applyBorder="1" applyAlignment="1">
      <alignment horizontal="center" vertical="center"/>
    </xf>
    <xf numFmtId="2" fontId="2" fillId="0" borderId="18" xfId="0" applyNumberFormat="1" applyFont="1" applyBorder="1" applyAlignment="1">
      <alignment horizontal="center" vertical="center"/>
    </xf>
    <xf numFmtId="2" fontId="2" fillId="17" borderId="2" xfId="0" applyNumberFormat="1" applyFont="1" applyFill="1" applyBorder="1" applyAlignment="1">
      <alignment horizontal="center" vertical="center"/>
    </xf>
    <xf numFmtId="2" fontId="2" fillId="3" borderId="2" xfId="0" applyNumberFormat="1" applyFont="1" applyFill="1" applyBorder="1" applyAlignment="1">
      <alignment horizontal="center" vertical="center"/>
    </xf>
    <xf numFmtId="0" fontId="4" fillId="0" borderId="11" xfId="0" applyFont="1" applyBorder="1" applyAlignment="1">
      <alignment horizontal="center" vertical="center"/>
    </xf>
    <xf numFmtId="2" fontId="4" fillId="0" borderId="11" xfId="0" applyNumberFormat="1" applyFont="1" applyBorder="1" applyAlignment="1">
      <alignment horizontal="center" vertical="center"/>
    </xf>
    <xf numFmtId="2" fontId="2" fillId="0" borderId="11" xfId="0" applyNumberFormat="1" applyFont="1" applyBorder="1" applyAlignment="1">
      <alignment horizontal="center" vertical="center"/>
    </xf>
    <xf numFmtId="2" fontId="4" fillId="0" borderId="49" xfId="0" applyNumberFormat="1" applyFont="1" applyBorder="1" applyAlignment="1">
      <alignment horizontal="center" vertical="center"/>
    </xf>
    <xf numFmtId="2" fontId="4" fillId="17" borderId="11" xfId="0" applyNumberFormat="1" applyFont="1" applyFill="1" applyBorder="1" applyAlignment="1">
      <alignment horizontal="center" vertical="center"/>
    </xf>
    <xf numFmtId="2" fontId="4" fillId="3" borderId="11" xfId="0" applyNumberFormat="1" applyFont="1" applyFill="1" applyBorder="1" applyAlignment="1">
      <alignment horizontal="center" vertical="center"/>
    </xf>
    <xf numFmtId="0" fontId="2" fillId="19" borderId="31" xfId="0" applyFont="1" applyFill="1" applyBorder="1" applyAlignment="1">
      <alignment horizontal="center" vertical="center" wrapText="1"/>
    </xf>
    <xf numFmtId="0" fontId="8" fillId="0" borderId="0" xfId="0" applyFont="1" applyAlignment="1">
      <alignment horizontal="center" vertical="center"/>
    </xf>
    <xf numFmtId="0" fontId="7" fillId="0" borderId="0" xfId="3" applyAlignment="1">
      <alignment horizontal="center" vertical="center"/>
    </xf>
    <xf numFmtId="0" fontId="7" fillId="0" borderId="0" xfId="3" applyFill="1" applyBorder="1" applyAlignment="1">
      <alignment horizontal="center" vertical="center"/>
    </xf>
    <xf numFmtId="0" fontId="7" fillId="0" borderId="0" xfId="3" applyFill="1" applyAlignment="1">
      <alignment horizontal="center" vertical="center"/>
    </xf>
    <xf numFmtId="49" fontId="0" fillId="0" borderId="0" xfId="0" applyNumberFormat="1" applyAlignment="1">
      <alignment horizontal="center" vertical="center"/>
    </xf>
    <xf numFmtId="49" fontId="7" fillId="0" borderId="0" xfId="3" applyNumberFormat="1" applyAlignment="1">
      <alignment horizontal="center" vertical="center"/>
    </xf>
    <xf numFmtId="49" fontId="7" fillId="0" borderId="0" xfId="3" applyNumberFormat="1" applyFill="1" applyAlignment="1">
      <alignment horizontal="center" vertical="center"/>
    </xf>
    <xf numFmtId="49" fontId="7" fillId="0" borderId="0" xfId="3" applyNumberFormat="1" applyFill="1" applyBorder="1" applyAlignment="1">
      <alignment horizontal="center" vertical="center"/>
    </xf>
    <xf numFmtId="0" fontId="7" fillId="0" borderId="0" xfId="3" applyFill="1"/>
    <xf numFmtId="0" fontId="4" fillId="0" borderId="3"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4" fillId="0" borderId="4" xfId="0" applyFont="1" applyBorder="1" applyAlignment="1" applyProtection="1">
      <alignment horizontal="center" vertical="center" wrapText="1"/>
      <protection locked="0"/>
    </xf>
    <xf numFmtId="0" fontId="4" fillId="0" borderId="6" xfId="0" applyFont="1" applyBorder="1" applyAlignment="1" applyProtection="1">
      <alignment horizontal="center" vertical="center" wrapText="1"/>
      <protection locked="0"/>
    </xf>
    <xf numFmtId="0" fontId="4" fillId="0" borderId="3" xfId="0" applyFont="1" applyBorder="1" applyAlignment="1" applyProtection="1">
      <alignment horizontal="center" vertical="center" wrapText="1"/>
      <protection locked="0"/>
    </xf>
    <xf numFmtId="0" fontId="4" fillId="0" borderId="7" xfId="0" applyFont="1" applyBorder="1" applyAlignment="1" applyProtection="1">
      <alignment horizontal="center" vertical="center" wrapText="1"/>
      <protection locked="0"/>
    </xf>
    <xf numFmtId="0" fontId="0" fillId="0" borderId="41" xfId="0" applyBorder="1" applyAlignment="1">
      <alignment horizontal="center"/>
    </xf>
    <xf numFmtId="0" fontId="0" fillId="0" borderId="36" xfId="0" applyBorder="1" applyAlignment="1">
      <alignment horizontal="center"/>
    </xf>
    <xf numFmtId="0" fontId="0" fillId="0" borderId="42" xfId="0" applyBorder="1" applyAlignment="1">
      <alignment horizontal="center"/>
    </xf>
    <xf numFmtId="0" fontId="0" fillId="0" borderId="38" xfId="0" applyBorder="1" applyAlignment="1">
      <alignment horizontal="center"/>
    </xf>
    <xf numFmtId="0" fontId="29" fillId="0" borderId="47" xfId="0" applyFont="1" applyBorder="1" applyAlignment="1" applyProtection="1">
      <alignment horizontal="center" vertical="center" wrapText="1"/>
      <protection locked="0"/>
    </xf>
    <xf numFmtId="0" fontId="4" fillId="0" borderId="35" xfId="0" applyFont="1" applyBorder="1" applyAlignment="1">
      <alignment horizontal="center" wrapText="1"/>
    </xf>
    <xf numFmtId="0" fontId="4" fillId="0" borderId="36" xfId="0" applyFont="1" applyBorder="1" applyAlignment="1">
      <alignment horizontal="center" wrapText="1"/>
    </xf>
    <xf numFmtId="0" fontId="4" fillId="0" borderId="30" xfId="0" applyFont="1" applyBorder="1" applyAlignment="1">
      <alignment horizontal="center" wrapText="1"/>
    </xf>
    <xf numFmtId="0" fontId="4" fillId="0" borderId="37" xfId="0" applyFont="1" applyBorder="1" applyAlignment="1">
      <alignment horizontal="center" wrapText="1"/>
    </xf>
    <xf numFmtId="0" fontId="4" fillId="0" borderId="33" xfId="0" applyFont="1" applyBorder="1" applyAlignment="1">
      <alignment horizontal="center" wrapText="1"/>
    </xf>
    <xf numFmtId="0" fontId="4" fillId="0" borderId="38" xfId="0" applyFont="1" applyBorder="1" applyAlignment="1">
      <alignment horizontal="center" wrapText="1"/>
    </xf>
    <xf numFmtId="0" fontId="4" fillId="0" borderId="35" xfId="0" applyFont="1" applyBorder="1" applyAlignment="1">
      <alignment horizontal="center"/>
    </xf>
    <xf numFmtId="0" fontId="4" fillId="0" borderId="36" xfId="0" applyFont="1" applyBorder="1" applyAlignment="1">
      <alignment horizontal="center"/>
    </xf>
    <xf numFmtId="0" fontId="4" fillId="0" borderId="30" xfId="0" applyFont="1" applyBorder="1" applyAlignment="1">
      <alignment horizontal="center"/>
    </xf>
    <xf numFmtId="0" fontId="4" fillId="0" borderId="37" xfId="0" applyFont="1" applyBorder="1" applyAlignment="1">
      <alignment horizontal="center"/>
    </xf>
    <xf numFmtId="0" fontId="4" fillId="0" borderId="33" xfId="0" applyFont="1" applyBorder="1" applyAlignment="1">
      <alignment horizontal="center"/>
    </xf>
    <xf numFmtId="0" fontId="4" fillId="0" borderId="38" xfId="0" applyFont="1" applyBorder="1" applyAlignment="1">
      <alignment horizontal="center"/>
    </xf>
    <xf numFmtId="0" fontId="4" fillId="0" borderId="35" xfId="0" applyFont="1" applyBorder="1" applyAlignment="1">
      <alignment horizontal="center" vertical="center" wrapText="1"/>
    </xf>
    <xf numFmtId="0" fontId="4" fillId="0" borderId="36" xfId="0" applyFont="1" applyBorder="1" applyAlignment="1">
      <alignment horizontal="center" vertical="center" wrapText="1"/>
    </xf>
    <xf numFmtId="0" fontId="4" fillId="0" borderId="30"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38" xfId="0" applyFont="1" applyBorder="1" applyAlignment="1">
      <alignment horizontal="center" vertical="center" wrapText="1"/>
    </xf>
    <xf numFmtId="0" fontId="0" fillId="0" borderId="29" xfId="0" applyBorder="1" applyAlignment="1">
      <alignment horizontal="center"/>
    </xf>
    <xf numFmtId="0" fontId="0" fillId="0" borderId="37" xfId="0" applyBorder="1" applyAlignment="1">
      <alignment horizontal="center"/>
    </xf>
    <xf numFmtId="0" fontId="0" fillId="0" borderId="43" xfId="0" applyBorder="1" applyAlignment="1">
      <alignment horizontal="center"/>
    </xf>
    <xf numFmtId="0" fontId="0" fillId="0" borderId="44" xfId="0" applyBorder="1" applyAlignment="1">
      <alignment horizontal="center"/>
    </xf>
    <xf numFmtId="0" fontId="4" fillId="0" borderId="1" xfId="0" applyFont="1" applyBorder="1" applyAlignment="1" applyProtection="1">
      <alignment horizontal="center" vertical="center" wrapText="1"/>
      <protection locked="0"/>
    </xf>
    <xf numFmtId="0" fontId="2" fillId="0" borderId="13" xfId="0" applyFont="1" applyBorder="1" applyAlignment="1" applyProtection="1">
      <alignment horizontal="center" vertical="center" wrapText="1"/>
      <protection locked="0"/>
    </xf>
    <xf numFmtId="0" fontId="2" fillId="0" borderId="14"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0" fontId="2" fillId="0" borderId="21"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7" xfId="0" applyFont="1" applyBorder="1" applyAlignment="1" applyProtection="1">
      <alignment horizontal="center" vertical="center" wrapText="1"/>
      <protection locked="0"/>
    </xf>
    <xf numFmtId="0" fontId="0" fillId="0" borderId="45" xfId="0" applyBorder="1" applyAlignment="1">
      <alignment horizontal="center"/>
    </xf>
    <xf numFmtId="0" fontId="0" fillId="0" borderId="46" xfId="0" applyBorder="1" applyAlignment="1">
      <alignment horizontal="center"/>
    </xf>
    <xf numFmtId="0" fontId="4" fillId="3" borderId="4" xfId="0" applyFont="1" applyFill="1" applyBorder="1" applyAlignment="1" applyProtection="1">
      <alignment horizontal="center" vertical="center" wrapText="1"/>
      <protection locked="0"/>
    </xf>
    <xf numFmtId="0" fontId="4" fillId="3" borderId="5" xfId="0" applyFont="1" applyFill="1" applyBorder="1" applyAlignment="1" applyProtection="1">
      <alignment horizontal="center" vertical="center" wrapText="1"/>
      <protection locked="0"/>
    </xf>
    <xf numFmtId="0" fontId="4" fillId="3" borderId="6" xfId="0" applyFont="1" applyFill="1" applyBorder="1" applyAlignment="1" applyProtection="1">
      <alignment horizontal="center" vertical="center" wrapText="1"/>
      <protection locked="0"/>
    </xf>
    <xf numFmtId="0" fontId="4" fillId="0" borderId="12" xfId="0" applyFont="1" applyBorder="1" applyAlignment="1" applyProtection="1">
      <alignment horizontal="center" vertical="center" wrapText="1"/>
      <protection locked="0"/>
    </xf>
    <xf numFmtId="0" fontId="4" fillId="0" borderId="13" xfId="0" applyFont="1" applyBorder="1" applyAlignment="1" applyProtection="1">
      <alignment horizontal="center" vertical="center" wrapText="1"/>
      <protection locked="0"/>
    </xf>
    <xf numFmtId="0" fontId="2" fillId="0" borderId="12" xfId="0" applyFont="1" applyBorder="1" applyAlignment="1" applyProtection="1">
      <alignment horizontal="center" vertical="center" wrapText="1"/>
      <protection locked="0"/>
    </xf>
    <xf numFmtId="0" fontId="2" fillId="0" borderId="28" xfId="0" applyFont="1" applyBorder="1" applyAlignment="1" applyProtection="1">
      <alignment horizontal="center" vertical="center" wrapText="1"/>
      <protection locked="0"/>
    </xf>
    <xf numFmtId="0" fontId="2" fillId="3" borderId="25" xfId="0" applyFont="1" applyFill="1" applyBorder="1" applyAlignment="1" applyProtection="1">
      <alignment horizontal="center" vertical="center" wrapText="1"/>
      <protection locked="0"/>
    </xf>
    <xf numFmtId="0" fontId="2" fillId="3" borderId="26" xfId="0" applyFont="1" applyFill="1" applyBorder="1" applyAlignment="1" applyProtection="1">
      <alignment horizontal="center" vertical="center" wrapText="1"/>
      <protection locked="0"/>
    </xf>
    <xf numFmtId="0" fontId="2" fillId="3" borderId="27" xfId="0" applyFont="1" applyFill="1" applyBorder="1" applyAlignment="1" applyProtection="1">
      <alignment horizontal="center" vertical="center" wrapText="1"/>
      <protection locked="0"/>
    </xf>
    <xf numFmtId="0" fontId="2" fillId="3" borderId="4" xfId="0" applyFont="1" applyFill="1" applyBorder="1" applyAlignment="1" applyProtection="1">
      <alignment horizontal="center" vertical="center" wrapText="1"/>
      <protection locked="0"/>
    </xf>
    <xf numFmtId="0" fontId="2" fillId="3" borderId="5" xfId="0" applyFont="1" applyFill="1" applyBorder="1" applyAlignment="1" applyProtection="1">
      <alignment horizontal="center" vertical="center" wrapText="1"/>
      <protection locked="0"/>
    </xf>
    <xf numFmtId="0" fontId="2" fillId="3" borderId="6" xfId="0" applyFont="1" applyFill="1" applyBorder="1" applyAlignment="1" applyProtection="1">
      <alignment horizontal="center" vertical="center" wrapText="1"/>
      <protection locked="0"/>
    </xf>
    <xf numFmtId="0" fontId="2" fillId="0" borderId="8"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4" fillId="0" borderId="14"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0" fontId="2" fillId="3" borderId="3" xfId="0"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wrapText="1"/>
      <protection locked="0"/>
    </xf>
    <xf numFmtId="0" fontId="2" fillId="0" borderId="17" xfId="0" applyFont="1" applyBorder="1" applyAlignment="1" applyProtection="1">
      <alignment horizontal="center" vertical="center" wrapText="1"/>
      <protection locked="0"/>
    </xf>
    <xf numFmtId="0" fontId="2" fillId="0" borderId="20" xfId="0" applyFont="1" applyBorder="1" applyAlignment="1" applyProtection="1">
      <alignment horizontal="center" vertical="center" wrapText="1"/>
      <protection locked="0"/>
    </xf>
    <xf numFmtId="0" fontId="2" fillId="0" borderId="16" xfId="0" applyFont="1" applyBorder="1" applyAlignment="1" applyProtection="1">
      <alignment horizontal="center" vertical="center" wrapText="1"/>
      <protection locked="0"/>
    </xf>
    <xf numFmtId="0" fontId="0" fillId="0" borderId="18" xfId="0"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0" fontId="4" fillId="0" borderId="19" xfId="0" applyFont="1" applyBorder="1" applyAlignment="1">
      <alignment horizontal="center" vertical="center" textRotation="90"/>
    </xf>
    <xf numFmtId="0" fontId="4" fillId="0" borderId="32" xfId="0" applyFont="1" applyBorder="1" applyAlignment="1">
      <alignment horizontal="center" vertical="center" textRotation="90"/>
    </xf>
    <xf numFmtId="0" fontId="4" fillId="0" borderId="30" xfId="0" applyFont="1" applyBorder="1" applyAlignment="1">
      <alignment horizontal="center" vertical="center" textRotation="90"/>
    </xf>
    <xf numFmtId="0" fontId="4" fillId="0" borderId="0" xfId="0" applyFont="1" applyAlignment="1">
      <alignment horizontal="center" vertical="center" textRotation="90"/>
    </xf>
    <xf numFmtId="0" fontId="5" fillId="0" borderId="2" xfId="0" applyFont="1" applyBorder="1" applyAlignment="1" applyProtection="1">
      <alignment horizontal="center" vertical="center" wrapText="1"/>
      <protection locked="0"/>
    </xf>
    <xf numFmtId="0" fontId="5" fillId="0" borderId="13" xfId="0" applyFont="1" applyBorder="1" applyAlignment="1" applyProtection="1">
      <alignment horizontal="center" vertical="center" wrapText="1"/>
      <protection locked="0"/>
    </xf>
    <xf numFmtId="0" fontId="6" fillId="0" borderId="2" xfId="0" applyFont="1" applyBorder="1" applyAlignment="1" applyProtection="1">
      <alignment horizontal="center" vertical="center" wrapText="1"/>
      <protection locked="0"/>
    </xf>
    <xf numFmtId="0" fontId="6" fillId="0" borderId="13" xfId="0" applyFont="1" applyBorder="1" applyAlignment="1" applyProtection="1">
      <alignment horizontal="center" vertical="center" wrapText="1"/>
      <protection locked="0"/>
    </xf>
    <xf numFmtId="0" fontId="6" fillId="0" borderId="2" xfId="0" applyFont="1" applyBorder="1" applyAlignment="1" applyProtection="1">
      <alignment horizontal="center" vertical="center" textRotation="90" wrapText="1"/>
      <protection locked="0"/>
    </xf>
    <xf numFmtId="0" fontId="6" fillId="0" borderId="13" xfId="0" applyFont="1" applyBorder="1" applyAlignment="1" applyProtection="1">
      <alignment horizontal="center" vertical="center" textRotation="90" wrapText="1"/>
      <protection locked="0"/>
    </xf>
    <xf numFmtId="0" fontId="2" fillId="0" borderId="2" xfId="0" applyFont="1" applyBorder="1" applyAlignment="1" applyProtection="1">
      <alignment horizontal="center" vertical="center" textRotation="90" wrapText="1"/>
      <protection locked="0"/>
    </xf>
    <xf numFmtId="0" fontId="2" fillId="0" borderId="13" xfId="0" applyFont="1" applyBorder="1" applyAlignment="1" applyProtection="1">
      <alignment horizontal="center" vertical="center" textRotation="90" wrapText="1"/>
      <protection locked="0"/>
    </xf>
    <xf numFmtId="0" fontId="0" fillId="0" borderId="19" xfId="0" applyBorder="1" applyAlignment="1" applyProtection="1">
      <alignment horizontal="center" vertical="center" wrapText="1"/>
      <protection locked="0"/>
    </xf>
    <xf numFmtId="0" fontId="0" fillId="0" borderId="33" xfId="0" applyBorder="1" applyAlignment="1" applyProtection="1">
      <alignment horizontal="center" vertical="center" wrapText="1"/>
      <protection locked="0"/>
    </xf>
    <xf numFmtId="0" fontId="30" fillId="0" borderId="47" xfId="0" applyFont="1" applyBorder="1" applyAlignment="1">
      <alignment horizontal="center" vertical="center"/>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4" fillId="0" borderId="3" xfId="0" applyFont="1" applyBorder="1" applyAlignment="1">
      <alignment horizontal="center" vertical="center" wrapText="1"/>
    </xf>
    <xf numFmtId="0" fontId="4" fillId="0" borderId="7" xfId="0" applyFont="1" applyBorder="1" applyAlignment="1">
      <alignment horizontal="center" vertical="center" wrapText="1"/>
    </xf>
    <xf numFmtId="0" fontId="0" fillId="0" borderId="3" xfId="0" applyBorder="1" applyAlignment="1">
      <alignment horizontal="center" vertical="center"/>
    </xf>
    <xf numFmtId="0" fontId="0" fillId="0" borderId="8"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2" fillId="0" borderId="8" xfId="0" applyFont="1" applyBorder="1" applyAlignment="1">
      <alignment horizontal="center" vertical="center"/>
    </xf>
    <xf numFmtId="0" fontId="2" fillId="0" borderId="10" xfId="0" applyFont="1" applyBorder="1" applyAlignment="1">
      <alignment horizontal="center" vertical="center"/>
    </xf>
    <xf numFmtId="0" fontId="0" fillId="0" borderId="35" xfId="0" applyBorder="1" applyAlignment="1">
      <alignment horizontal="center"/>
    </xf>
    <xf numFmtId="0" fontId="0" fillId="0" borderId="30" xfId="0" applyBorder="1" applyAlignment="1">
      <alignment horizontal="center"/>
    </xf>
    <xf numFmtId="0" fontId="0" fillId="0" borderId="33" xfId="0" applyBorder="1" applyAlignment="1">
      <alignment horizontal="center"/>
    </xf>
    <xf numFmtId="0" fontId="2" fillId="0" borderId="9" xfId="0" applyFont="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0" borderId="1" xfId="0" applyFont="1" applyBorder="1" applyAlignment="1">
      <alignment horizontal="center" vertical="center" wrapText="1"/>
    </xf>
    <xf numFmtId="0" fontId="4" fillId="0" borderId="3" xfId="0" applyFont="1" applyBorder="1" applyAlignment="1">
      <alignment horizontal="center" vertical="center"/>
    </xf>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10" xfId="0" applyFont="1" applyBorder="1" applyAlignment="1">
      <alignment horizontal="center" vertical="center"/>
    </xf>
    <xf numFmtId="0" fontId="4" fillId="0" borderId="9" xfId="0" applyFont="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19" borderId="4" xfId="0" applyFont="1" applyFill="1" applyBorder="1" applyAlignment="1">
      <alignment horizontal="center" vertical="center"/>
    </xf>
    <xf numFmtId="0" fontId="2" fillId="19" borderId="5" xfId="0" applyFont="1" applyFill="1" applyBorder="1" applyAlignment="1">
      <alignment horizontal="center" vertical="center"/>
    </xf>
    <xf numFmtId="0" fontId="2" fillId="19" borderId="6" xfId="0" applyFont="1" applyFill="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0" fillId="0" borderId="1" xfId="0" applyBorder="1" applyAlignment="1">
      <alignment horizontal="center" vertical="center"/>
    </xf>
    <xf numFmtId="0" fontId="2" fillId="20" borderId="4" xfId="0" applyFont="1" applyFill="1" applyBorder="1" applyAlignment="1">
      <alignment horizontal="center" vertical="center"/>
    </xf>
    <xf numFmtId="0" fontId="2" fillId="20" borderId="5" xfId="0" applyFont="1" applyFill="1" applyBorder="1" applyAlignment="1">
      <alignment horizontal="center" vertical="center"/>
    </xf>
    <xf numFmtId="0" fontId="2" fillId="20" borderId="6" xfId="0" applyFont="1" applyFill="1" applyBorder="1" applyAlignment="1">
      <alignment horizontal="center" vertical="center"/>
    </xf>
    <xf numFmtId="0" fontId="0" fillId="0" borderId="10" xfId="0" applyBorder="1" applyAlignment="1">
      <alignment horizontal="center" vertical="center"/>
    </xf>
    <xf numFmtId="0" fontId="2" fillId="0" borderId="15" xfId="0" applyFont="1" applyBorder="1" applyAlignment="1">
      <alignment horizontal="center" vertical="center"/>
    </xf>
    <xf numFmtId="0" fontId="4" fillId="0" borderId="40" xfId="0" applyFont="1" applyBorder="1" applyAlignment="1">
      <alignment horizontal="center" vertical="center"/>
    </xf>
    <xf numFmtId="0" fontId="2" fillId="0" borderId="17" xfId="0" applyFont="1" applyBorder="1" applyAlignment="1">
      <alignment horizontal="center" vertical="center"/>
    </xf>
    <xf numFmtId="0" fontId="2" fillId="0" borderId="20" xfId="0" applyFont="1" applyBorder="1" applyAlignment="1">
      <alignment horizontal="center" vertical="center"/>
    </xf>
    <xf numFmtId="0" fontId="2" fillId="0" borderId="16" xfId="0" applyFont="1" applyBorder="1" applyAlignment="1">
      <alignment horizontal="center" vertical="center"/>
    </xf>
    <xf numFmtId="0" fontId="6" fillId="0" borderId="2" xfId="0" applyFont="1" applyBorder="1" applyAlignment="1">
      <alignment horizontal="center" vertical="center"/>
    </xf>
    <xf numFmtId="0" fontId="6" fillId="0" borderId="14" xfId="0" applyFont="1" applyBorder="1" applyAlignment="1">
      <alignment horizontal="center" vertical="center"/>
    </xf>
    <xf numFmtId="0" fontId="2" fillId="0" borderId="2"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19" borderId="3" xfId="0" applyFont="1" applyFill="1" applyBorder="1" applyAlignment="1">
      <alignment horizontal="center" vertical="center"/>
    </xf>
    <xf numFmtId="0" fontId="2" fillId="19" borderId="1" xfId="0" applyFont="1" applyFill="1" applyBorder="1" applyAlignment="1">
      <alignment horizontal="center" vertical="center"/>
    </xf>
    <xf numFmtId="0" fontId="2" fillId="19" borderId="7" xfId="0" applyFont="1" applyFill="1" applyBorder="1" applyAlignment="1">
      <alignment horizontal="center" vertical="center"/>
    </xf>
    <xf numFmtId="0" fontId="0" fillId="0" borderId="3" xfId="0" applyBorder="1" applyAlignment="1">
      <alignment horizontal="center" vertical="center" wrapText="1"/>
    </xf>
    <xf numFmtId="0" fontId="0" fillId="0" borderId="8" xfId="0" applyBorder="1" applyAlignment="1">
      <alignment horizontal="center" vertical="center" wrapText="1"/>
    </xf>
    <xf numFmtId="0" fontId="0" fillId="0" borderId="1" xfId="0" applyBorder="1" applyAlignment="1">
      <alignment horizontal="center" vertical="center" wrapText="1"/>
    </xf>
    <xf numFmtId="0" fontId="0" fillId="0" borderId="10" xfId="0" applyBorder="1" applyAlignment="1">
      <alignment horizontal="center" vertical="center" wrapText="1"/>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4" fillId="0" borderId="5"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27" xfId="0" applyFont="1" applyBorder="1" applyAlignment="1">
      <alignment horizontal="center"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19" borderId="16" xfId="0" applyFont="1" applyFill="1" applyBorder="1" applyAlignment="1">
      <alignment horizontal="center" vertical="center" wrapText="1"/>
    </xf>
    <xf numFmtId="0" fontId="2" fillId="19" borderId="24" xfId="0" applyFont="1" applyFill="1" applyBorder="1" applyAlignment="1">
      <alignment horizontal="center" vertical="center" wrapText="1"/>
    </xf>
    <xf numFmtId="0" fontId="4" fillId="19" borderId="3" xfId="0" applyFont="1" applyFill="1" applyBorder="1" applyAlignment="1">
      <alignment horizontal="center" vertical="center"/>
    </xf>
    <xf numFmtId="0" fontId="4" fillId="19" borderId="1" xfId="0" applyFont="1" applyFill="1" applyBorder="1" applyAlignment="1">
      <alignment horizontal="center" vertical="center"/>
    </xf>
    <xf numFmtId="0" fontId="4" fillId="19" borderId="7" xfId="0" applyFont="1" applyFill="1" applyBorder="1" applyAlignment="1">
      <alignment horizontal="center" vertical="center"/>
    </xf>
    <xf numFmtId="0" fontId="4" fillId="19" borderId="11" xfId="0" applyFont="1" applyFill="1" applyBorder="1" applyAlignment="1">
      <alignment horizontal="center" vertical="center"/>
    </xf>
    <xf numFmtId="0" fontId="2" fillId="19" borderId="2" xfId="0" applyFont="1" applyFill="1" applyBorder="1" applyAlignment="1">
      <alignment horizontal="center" vertical="center"/>
    </xf>
    <xf numFmtId="0" fontId="0" fillId="0" borderId="19" xfId="0" applyBorder="1" applyAlignment="1">
      <alignment horizontal="center" vertical="center"/>
    </xf>
    <xf numFmtId="0" fontId="0" fillId="0" borderId="50" xfId="0" applyBorder="1" applyAlignment="1">
      <alignment horizontal="center" vertical="center"/>
    </xf>
    <xf numFmtId="0" fontId="0" fillId="0" borderId="33" xfId="0" applyBorder="1" applyAlignment="1">
      <alignment horizontal="center" vertical="center"/>
    </xf>
    <xf numFmtId="0" fontId="0" fillId="0" borderId="38" xfId="0" applyBorder="1" applyAlignment="1">
      <alignment horizontal="center" vertical="center"/>
    </xf>
    <xf numFmtId="0" fontId="0" fillId="0" borderId="51" xfId="0" applyBorder="1" applyAlignment="1">
      <alignment horizontal="center" vertical="center"/>
    </xf>
    <xf numFmtId="0" fontId="0" fillId="0" borderId="52" xfId="0" applyBorder="1" applyAlignment="1">
      <alignment horizontal="center" vertical="center"/>
    </xf>
    <xf numFmtId="0" fontId="5" fillId="0" borderId="14" xfId="0" applyFont="1" applyBorder="1" applyAlignment="1" applyProtection="1">
      <alignment horizontal="center" vertical="center" wrapText="1"/>
      <protection locked="0"/>
    </xf>
    <xf numFmtId="0" fontId="6" fillId="0" borderId="14" xfId="0" applyFont="1" applyBorder="1" applyAlignment="1" applyProtection="1">
      <alignment horizontal="center" vertical="center" wrapText="1"/>
      <protection locked="0"/>
    </xf>
    <xf numFmtId="0" fontId="6" fillId="0" borderId="1" xfId="0" applyFont="1" applyBorder="1" applyAlignment="1">
      <alignment horizontal="center" vertical="center" textRotation="90"/>
    </xf>
    <xf numFmtId="0" fontId="6" fillId="0" borderId="7" xfId="0" applyFont="1" applyBorder="1" applyAlignment="1">
      <alignment horizontal="center" vertical="center" textRotation="90"/>
    </xf>
    <xf numFmtId="0" fontId="2" fillId="0" borderId="1" xfId="0" applyFont="1" applyBorder="1" applyAlignment="1">
      <alignment horizontal="center" vertical="center" textRotation="90"/>
    </xf>
    <xf numFmtId="0" fontId="2" fillId="0" borderId="7" xfId="0" applyFont="1" applyBorder="1" applyAlignment="1">
      <alignment horizontal="center" vertical="center" textRotation="90"/>
    </xf>
    <xf numFmtId="0" fontId="0" fillId="0" borderId="2" xfId="0" applyBorder="1" applyAlignment="1">
      <alignment horizontal="center" vertical="center"/>
    </xf>
    <xf numFmtId="0" fontId="0" fillId="0" borderId="15" xfId="0" applyBorder="1" applyAlignment="1">
      <alignment horizontal="center" vertical="center"/>
    </xf>
    <xf numFmtId="0" fontId="0" fillId="0" borderId="11" xfId="0" applyBorder="1" applyAlignment="1">
      <alignment horizontal="center" vertical="center"/>
    </xf>
    <xf numFmtId="0" fontId="0" fillId="0" borderId="40" xfId="0" applyBorder="1" applyAlignment="1">
      <alignment horizontal="center" vertical="center"/>
    </xf>
    <xf numFmtId="0" fontId="0" fillId="0" borderId="17" xfId="0" applyBorder="1" applyAlignment="1">
      <alignment horizontal="center" vertical="center"/>
    </xf>
    <xf numFmtId="0" fontId="0" fillId="0" borderId="23" xfId="0" applyBorder="1" applyAlignment="1">
      <alignment horizontal="center" vertical="center"/>
    </xf>
    <xf numFmtId="2" fontId="2" fillId="0" borderId="3" xfId="0" applyNumberFormat="1" applyFont="1" applyBorder="1" applyAlignment="1">
      <alignment horizontal="center" vertical="center"/>
    </xf>
    <xf numFmtId="2" fontId="2" fillId="0" borderId="1" xfId="0" applyNumberFormat="1" applyFont="1" applyBorder="1" applyAlignment="1">
      <alignment horizontal="center" vertical="center"/>
    </xf>
    <xf numFmtId="0" fontId="4" fillId="0" borderId="39" xfId="0" applyFont="1" applyBorder="1" applyAlignment="1">
      <alignment horizontal="center" vertical="center"/>
    </xf>
    <xf numFmtId="0" fontId="4" fillId="0" borderId="2" xfId="0" applyFont="1" applyBorder="1" applyAlignment="1">
      <alignment horizontal="center" vertical="center" wrapText="1"/>
    </xf>
    <xf numFmtId="0" fontId="0" fillId="0" borderId="29" xfId="0" applyBorder="1" applyAlignment="1">
      <alignment horizontal="center" vertical="center"/>
    </xf>
    <xf numFmtId="0" fontId="0" fillId="0" borderId="0" xfId="0" applyAlignment="1">
      <alignment horizontal="center" vertical="center"/>
    </xf>
    <xf numFmtId="0" fontId="4" fillId="19" borderId="3" xfId="0" applyFont="1" applyFill="1" applyBorder="1" applyAlignment="1">
      <alignment horizontal="center" vertical="center" wrapText="1"/>
    </xf>
    <xf numFmtId="0" fontId="4" fillId="19" borderId="7" xfId="0" applyFont="1" applyFill="1" applyBorder="1" applyAlignment="1">
      <alignment horizontal="center" vertical="center" wrapText="1"/>
    </xf>
    <xf numFmtId="0" fontId="4" fillId="19" borderId="1" xfId="0" applyFont="1" applyFill="1" applyBorder="1" applyAlignment="1">
      <alignment horizontal="center" vertical="center" wrapText="1"/>
    </xf>
    <xf numFmtId="2" fontId="2" fillId="0" borderId="7" xfId="0" applyNumberFormat="1" applyFont="1" applyBorder="1" applyAlignment="1">
      <alignment horizontal="center" vertical="center"/>
    </xf>
    <xf numFmtId="0" fontId="2" fillId="19" borderId="3" xfId="0" applyFont="1" applyFill="1" applyBorder="1" applyAlignment="1">
      <alignment horizontal="center" vertical="center" wrapText="1"/>
    </xf>
    <xf numFmtId="0" fontId="2" fillId="19" borderId="1" xfId="0" applyFont="1" applyFill="1" applyBorder="1" applyAlignment="1">
      <alignment horizontal="center" vertical="center" wrapText="1"/>
    </xf>
    <xf numFmtId="0" fontId="2" fillId="19" borderId="7"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0" fillId="0" borderId="19" xfId="0" applyBorder="1" applyAlignment="1">
      <alignment horizontal="center" vertical="center" textRotation="90"/>
    </xf>
    <xf numFmtId="0" fontId="0" fillId="0" borderId="32" xfId="0" applyBorder="1" applyAlignment="1">
      <alignment horizontal="center" vertical="center" textRotation="90"/>
    </xf>
    <xf numFmtId="0" fontId="0" fillId="0" borderId="30" xfId="0" applyBorder="1" applyAlignment="1">
      <alignment horizontal="center" vertical="center" textRotation="90"/>
    </xf>
    <xf numFmtId="0" fontId="0" fillId="0" borderId="0" xfId="0" applyAlignment="1">
      <alignment horizontal="center" vertical="center" textRotation="90"/>
    </xf>
    <xf numFmtId="0" fontId="0" fillId="0" borderId="18" xfId="0" applyBorder="1" applyAlignment="1">
      <alignment horizontal="center" vertical="center"/>
    </xf>
    <xf numFmtId="0" fontId="0" fillId="0" borderId="48" xfId="0" applyBorder="1" applyAlignment="1">
      <alignment horizontal="center" vertical="center"/>
    </xf>
    <xf numFmtId="0" fontId="0" fillId="0" borderId="29" xfId="0"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left" vertical="center" wrapText="1"/>
    </xf>
    <xf numFmtId="0" fontId="0" fillId="0" borderId="0" xfId="0" applyAlignment="1">
      <alignment horizontal="left" vertical="center"/>
    </xf>
  </cellXfs>
  <cellStyles count="24">
    <cellStyle name="Accent" xfId="6" xr:uid="{3B6FA36B-2619-4DDB-9CDC-7FE3B94A5354}"/>
    <cellStyle name="Accent 1" xfId="7" xr:uid="{409D4A34-5D88-409C-8D25-352994615298}"/>
    <cellStyle name="Accent 2" xfId="8" xr:uid="{590E2B05-3ABC-42D2-BCDB-A0016A6A4D19}"/>
    <cellStyle name="Accent 3" xfId="9" xr:uid="{A624600C-F4B7-46D3-81C9-CE3DC7C46617}"/>
    <cellStyle name="Bad" xfId="10" xr:uid="{52EE4576-4501-4D14-840B-2EC30A51A9A2}"/>
    <cellStyle name="Error" xfId="11" xr:uid="{7F1FAB0E-D3A5-4119-B414-F19457DC3DF6}"/>
    <cellStyle name="Excel Built-in Normal" xfId="1" xr:uid="{992E6810-A4BD-4E97-BC1F-876915B10A3E}"/>
    <cellStyle name="Footnote" xfId="12" xr:uid="{A9C8EDF7-C597-4A5C-B987-A4CDBCD48E2A}"/>
    <cellStyle name="Good" xfId="13" xr:uid="{2D68A2EC-46DE-4272-89CF-D64DAD7A0F16}"/>
    <cellStyle name="Heading" xfId="14" xr:uid="{A3040B68-B0FE-41CA-ACCA-AC0F55B90697}"/>
    <cellStyle name="Heading 1" xfId="15" xr:uid="{9B365578-A504-4796-90E8-FD2C01A23887}"/>
    <cellStyle name="Heading 2" xfId="16" xr:uid="{9FCD9D70-70D1-48DD-A36A-A828625012D0}"/>
    <cellStyle name="Hyperlink" xfId="17" xr:uid="{502B49F0-C81F-4747-A71F-285DA11C6CB7}"/>
    <cellStyle name="Lien hypertexte" xfId="3" builtinId="8"/>
    <cellStyle name="Neutral" xfId="18" xr:uid="{9135FEAB-C071-4DC0-964C-D9CF82AEC55F}"/>
    <cellStyle name="Normal" xfId="0" builtinId="0"/>
    <cellStyle name="Normal 2" xfId="4" xr:uid="{F3229CD4-CEF6-4456-8383-EC38CF79A470}"/>
    <cellStyle name="Normal 5 2" xfId="2" xr:uid="{5B50C2AA-900C-46DD-B46C-95BD7C611329}"/>
    <cellStyle name="Note 2" xfId="5" xr:uid="{8D5F6216-AD7C-46F1-A5F9-C1D2F5EDF157}"/>
    <cellStyle name="Result" xfId="19" xr:uid="{AFC3064A-B8DB-4F83-8C9D-C5AFEA5E984A}"/>
    <cellStyle name="Result2" xfId="20" xr:uid="{8514DA99-062D-4CAB-8B51-7EAC0C19C227}"/>
    <cellStyle name="Status" xfId="21" xr:uid="{E6BA569A-CA4B-48AF-B0F5-5C14F65BCD06}"/>
    <cellStyle name="Text" xfId="22" xr:uid="{6D5F7FF1-3230-4A51-8B68-A1CE8F1CE6B0}"/>
    <cellStyle name="Warning" xfId="23" xr:uid="{37EA94FF-6265-48D8-8852-AF12907EF1A4}"/>
  </cellStyles>
  <dxfs count="12">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alignment horizontal="center" vertical="center"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colors>
    <mruColors>
      <color rgb="FFFFFF66"/>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0D929E-25E1-424A-A351-F3D20F9C8617}" name="Tableau2" displayName="Tableau2" ref="A2:K41" totalsRowShown="0" headerRowDxfId="11" dataDxfId="10">
  <autoFilter ref="A2:K41" xr:uid="{700D929E-25E1-424A-A351-F3D20F9C8617}">
    <filterColumn colId="4">
      <filters>
        <filter val="GIM"/>
      </filters>
    </filterColumn>
  </autoFilter>
  <sortState xmlns:xlrd2="http://schemas.microsoft.com/office/spreadsheetml/2017/richdata2" ref="A3:K40">
    <sortCondition ref="C2:C40"/>
  </sortState>
  <tableColumns count="11">
    <tableColumn id="1" xr3:uid="{FE1E49A5-7C7E-4781-A56B-A9BD9A36F884}" name="Structure/Entreprise" dataDxfId="9"/>
    <tableColumn id="2" xr3:uid="{61CB7ED1-8DC7-44DB-8D0A-DFF096CD18FE}" name="Matières" dataDxfId="8"/>
    <tableColumn id="3" xr3:uid="{6249DAB5-8721-47AF-B81B-4DD799C67B66}" name="Nom d'usage" dataDxfId="7"/>
    <tableColumn id="4" xr3:uid="{FE8A3942-95C1-4403-8774-79D183630635}" name="Prénom" dataDxfId="6"/>
    <tableColumn id="11" xr3:uid="{473FB96A-72A7-4C42-AA9F-EF1711700064}" name="Composantes"/>
    <tableColumn id="6" xr3:uid="{BAFDEFA7-A54F-4D56-B1FC-26144E35C9D6}" name="Corps code" dataDxfId="5"/>
    <tableColumn id="7" xr3:uid="{46AC457C-8B3F-4ADF-9F71-DE1CBF727D77}" name="Mél principal" dataDxfId="4"/>
    <tableColumn id="12" xr3:uid="{4EECE5F9-6D38-42D8-BF8E-9BF78164D088}" name="Tel" dataDxfId="3"/>
    <tableColumn id="8" xr3:uid="{691C5468-CA21-48AE-87AA-508B20AE4147}" name="Mél secondaire" dataDxfId="2"/>
    <tableColumn id="9" xr3:uid="{75EAE591-76F0-4DD2-848B-31A13BB0054C}" name="2024" dataDxfId="1"/>
    <tableColumn id="10" xr3:uid="{CECA5B63-448B-4A5A-935F-1AB500EA419E}" name="2025" dataDxfId="0"/>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4B5FD41-EA5F-4460-A4A2-94176F882576}">
  <we:reference id="WA200009404" version="1.0.0.8" store="Omex"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mailto:b00497029@essec.edu" TargetMode="External"/><Relationship Id="rId13" Type="http://schemas.openxmlformats.org/officeDocument/2006/relationships/hyperlink" Target="mailto:brice.mail3@gmail.com" TargetMode="External"/><Relationship Id="rId18" Type="http://schemas.openxmlformats.org/officeDocument/2006/relationships/hyperlink" Target="mailto:institut.prima@wanadoo.fr" TargetMode="External"/><Relationship Id="rId3" Type="http://schemas.openxmlformats.org/officeDocument/2006/relationships/hyperlink" Target="mailto:frede3778@gmail.com" TargetMode="External"/><Relationship Id="rId21" Type="http://schemas.openxmlformats.org/officeDocument/2006/relationships/hyperlink" Target="mailto:geallemant@gmail.com" TargetMode="External"/><Relationship Id="rId7" Type="http://schemas.openxmlformats.org/officeDocument/2006/relationships/hyperlink" Target="mailto:casimirisarah@gmail.com" TargetMode="External"/><Relationship Id="rId12" Type="http://schemas.openxmlformats.org/officeDocument/2006/relationships/hyperlink" Target="mailto:pvconsultingfr@gmail.com" TargetMode="External"/><Relationship Id="rId17" Type="http://schemas.openxmlformats.org/officeDocument/2006/relationships/hyperlink" Target="mailto:eric.olivi@ac-nice.fr" TargetMode="External"/><Relationship Id="rId2" Type="http://schemas.openxmlformats.org/officeDocument/2006/relationships/hyperlink" Target="mailto:michael.ichanson@ac-nice.fr" TargetMode="External"/><Relationship Id="rId16" Type="http://schemas.openxmlformats.org/officeDocument/2006/relationships/hyperlink" Target="mailto:camille@hy-plug.com" TargetMode="External"/><Relationship Id="rId20" Type="http://schemas.openxmlformats.org/officeDocument/2006/relationships/hyperlink" Target="mailto:sarah.bourib@gmail.com" TargetMode="External"/><Relationship Id="rId1" Type="http://schemas.openxmlformats.org/officeDocument/2006/relationships/hyperlink" Target="mailto:fabrice.leru@gmail.com" TargetMode="External"/><Relationship Id="rId6" Type="http://schemas.openxmlformats.org/officeDocument/2006/relationships/hyperlink" Target="mailto:rbesombes@ennovia.fr" TargetMode="External"/><Relationship Id="rId11" Type="http://schemas.openxmlformats.org/officeDocument/2006/relationships/hyperlink" Target="mailto:hdubreuil@cegetel.net" TargetMode="External"/><Relationship Id="rId24" Type="http://schemas.openxmlformats.org/officeDocument/2006/relationships/table" Target="../tables/table1.xml"/><Relationship Id="rId5" Type="http://schemas.openxmlformats.org/officeDocument/2006/relationships/hyperlink" Target="mailto:jeanmarie.audigier@gmail.com" TargetMode="External"/><Relationship Id="rId15" Type="http://schemas.openxmlformats.org/officeDocument/2006/relationships/hyperlink" Target="mailto:fabrice.leru@creditmutuel.fr" TargetMode="External"/><Relationship Id="rId23" Type="http://schemas.openxmlformats.org/officeDocument/2006/relationships/hyperlink" Target="mailto:p.camille.gym@gmail.com" TargetMode="External"/><Relationship Id="rId10" Type="http://schemas.openxmlformats.org/officeDocument/2006/relationships/hyperlink" Target="mailto:philippe.cunill@supmaritime.fr" TargetMode="External"/><Relationship Id="rId19" Type="http://schemas.openxmlformats.org/officeDocument/2006/relationships/hyperlink" Target="mailto:thierry.pinto@veolia.com" TargetMode="External"/><Relationship Id="rId4" Type="http://schemas.openxmlformats.org/officeDocument/2006/relationships/hyperlink" Target="mailto:Jean-Marie.Audigier@ac-nice.fr" TargetMode="External"/><Relationship Id="rId9" Type="http://schemas.openxmlformats.org/officeDocument/2006/relationships/hyperlink" Target="mailto:j.courtois.83@gmail.com" TargetMode="External"/><Relationship Id="rId14" Type="http://schemas.openxmlformats.org/officeDocument/2006/relationships/hyperlink" Target="mailto:muriel.le-henaff@ac-nice.fr" TargetMode="External"/><Relationship Id="rId22" Type="http://schemas.openxmlformats.org/officeDocument/2006/relationships/hyperlink" Target="mailto:emmanuel.formann1984@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3AB1C-B2BB-4909-B166-7D8237E34751}">
  <dimension ref="A1:BD206"/>
  <sheetViews>
    <sheetView zoomScale="70" zoomScaleNormal="70" workbookViewId="0">
      <pane xSplit="10" ySplit="5" topLeftCell="AA60" activePane="bottomRight" state="frozen"/>
      <selection pane="topRight" activeCell="K1" sqref="K1"/>
      <selection pane="bottomLeft" activeCell="A6" sqref="A6"/>
      <selection pane="bottomRight" activeCell="BC26" sqref="BC26:BD31"/>
    </sheetView>
  </sheetViews>
  <sheetFormatPr baseColWidth="10" defaultColWidth="11.42578125" defaultRowHeight="15"/>
  <cols>
    <col min="1" max="1" width="17.42578125" style="2" customWidth="1"/>
    <col min="2" max="2" width="17.42578125" style="14" customWidth="1"/>
    <col min="3" max="3" width="17.85546875" style="2" customWidth="1"/>
    <col min="4" max="4" width="7.85546875" style="2" customWidth="1"/>
    <col min="5" max="5" width="3.42578125" style="2" customWidth="1"/>
    <col min="6" max="6" width="11.42578125" style="2"/>
    <col min="7" max="8" width="6.5703125" style="2" customWidth="1"/>
    <col min="9" max="9" width="7.85546875" style="2" customWidth="1"/>
    <col min="10" max="10" width="11.42578125" style="2"/>
    <col min="11" max="54" width="5.5703125" style="3" customWidth="1"/>
    <col min="55" max="55" width="11.42578125" style="2"/>
    <col min="56" max="56" width="30.42578125" style="2" customWidth="1"/>
    <col min="60" max="60" width="11.42578125" customWidth="1"/>
  </cols>
  <sheetData>
    <row r="1" spans="1:56" s="2" customFormat="1" ht="119.1" customHeight="1">
      <c r="A1" s="388" t="s">
        <v>0</v>
      </c>
      <c r="B1" s="390" t="s">
        <v>1</v>
      </c>
      <c r="C1" s="390" t="s">
        <v>2</v>
      </c>
      <c r="D1" s="485" t="s">
        <v>3</v>
      </c>
      <c r="E1" s="487" t="s">
        <v>4</v>
      </c>
      <c r="F1" s="6"/>
      <c r="G1" s="8" t="s">
        <v>5</v>
      </c>
      <c r="H1" s="8" t="s">
        <v>6</v>
      </c>
      <c r="I1" s="8"/>
      <c r="J1" s="8"/>
      <c r="K1" s="96" t="s">
        <v>7</v>
      </c>
      <c r="L1" s="78"/>
      <c r="M1" s="172"/>
      <c r="N1" s="172"/>
      <c r="O1" s="78"/>
      <c r="P1" s="78"/>
      <c r="Q1" s="78"/>
      <c r="R1" s="97" t="s">
        <v>8</v>
      </c>
      <c r="S1" s="97" t="s">
        <v>9</v>
      </c>
      <c r="T1" s="98"/>
      <c r="U1" s="78"/>
      <c r="V1" s="78"/>
      <c r="W1" s="172"/>
      <c r="X1" s="172"/>
      <c r="Y1" s="116"/>
      <c r="Z1" s="78"/>
      <c r="AA1" s="76" t="s">
        <v>10</v>
      </c>
      <c r="AB1" s="100" t="s">
        <v>11</v>
      </c>
      <c r="AE1" s="172" t="s">
        <v>12</v>
      </c>
      <c r="AF1" s="217" t="s">
        <v>13</v>
      </c>
      <c r="AG1" s="78"/>
      <c r="AH1" s="78"/>
      <c r="AI1" s="77" t="s">
        <v>14</v>
      </c>
      <c r="AJ1" s="101" t="s">
        <v>15</v>
      </c>
      <c r="AK1" s="78"/>
      <c r="AL1" s="78"/>
      <c r="AM1" s="172"/>
      <c r="AN1" s="172"/>
      <c r="AO1" s="78"/>
      <c r="AP1" s="78"/>
      <c r="AQ1" s="77" t="s">
        <v>16</v>
      </c>
      <c r="AR1" s="77" t="s">
        <v>17</v>
      </c>
      <c r="AS1" s="102" t="s">
        <v>18</v>
      </c>
      <c r="AT1" s="102" t="s">
        <v>19</v>
      </c>
      <c r="AU1" s="215" t="s">
        <v>20</v>
      </c>
      <c r="AV1" s="78"/>
      <c r="AW1" s="78" t="s">
        <v>21</v>
      </c>
      <c r="AX1" s="96"/>
      <c r="AY1" s="96"/>
      <c r="BA1" s="78" t="s">
        <v>22</v>
      </c>
      <c r="BB1" s="172" t="s">
        <v>23</v>
      </c>
      <c r="BC1" s="117"/>
      <c r="BD1" s="117"/>
    </row>
    <row r="2" spans="1:56" ht="21.95" customHeight="1">
      <c r="A2" s="389"/>
      <c r="B2" s="391"/>
      <c r="C2" s="391"/>
      <c r="D2" s="485"/>
      <c r="E2" s="487"/>
      <c r="F2" s="445" t="s">
        <v>24</v>
      </c>
      <c r="G2" s="446"/>
      <c r="H2" s="446"/>
      <c r="I2" s="446"/>
      <c r="J2" s="447"/>
      <c r="K2" s="80">
        <v>1</v>
      </c>
      <c r="L2" s="81">
        <v>2</v>
      </c>
      <c r="M2" s="174">
        <v>3</v>
      </c>
      <c r="N2" s="173">
        <v>4</v>
      </c>
      <c r="O2" s="81">
        <v>5</v>
      </c>
      <c r="P2" s="81">
        <v>6</v>
      </c>
      <c r="Q2" s="80">
        <v>7</v>
      </c>
      <c r="R2" s="82"/>
      <c r="S2" s="82"/>
      <c r="T2" s="83">
        <v>8</v>
      </c>
      <c r="U2" s="84">
        <v>9</v>
      </c>
      <c r="V2" s="83">
        <v>10</v>
      </c>
      <c r="W2" s="212">
        <v>11</v>
      </c>
      <c r="X2" s="211">
        <v>12</v>
      </c>
      <c r="Y2" s="84">
        <v>13</v>
      </c>
      <c r="Z2" s="83">
        <v>14</v>
      </c>
      <c r="AA2" s="85"/>
      <c r="AB2" s="86"/>
      <c r="AC2" s="84">
        <v>15</v>
      </c>
      <c r="AD2" s="80">
        <v>16</v>
      </c>
      <c r="AE2" s="212">
        <v>17</v>
      </c>
      <c r="AF2" s="173">
        <v>18</v>
      </c>
      <c r="AG2" s="84">
        <v>19</v>
      </c>
      <c r="AH2" s="80">
        <v>20</v>
      </c>
      <c r="AI2" s="87"/>
      <c r="AJ2" s="88"/>
      <c r="AK2" s="84">
        <v>21</v>
      </c>
      <c r="AL2" s="84">
        <v>22</v>
      </c>
      <c r="AM2" s="212">
        <v>23</v>
      </c>
      <c r="AN2" s="212">
        <v>24</v>
      </c>
      <c r="AO2" s="84">
        <v>25</v>
      </c>
      <c r="AP2" s="84">
        <v>26</v>
      </c>
      <c r="AQ2" s="87"/>
      <c r="AR2" s="87"/>
      <c r="AS2" s="81">
        <v>27</v>
      </c>
      <c r="AT2" s="81">
        <v>28</v>
      </c>
      <c r="AU2" s="174"/>
      <c r="AV2" s="81">
        <v>29</v>
      </c>
      <c r="AW2" s="81">
        <v>30</v>
      </c>
      <c r="AX2" s="81">
        <v>31</v>
      </c>
      <c r="AY2" s="81">
        <v>32</v>
      </c>
      <c r="AZ2" s="81">
        <v>33</v>
      </c>
      <c r="BA2" s="81">
        <v>34</v>
      </c>
      <c r="BB2" s="212"/>
      <c r="BC2" s="59"/>
      <c r="BD2" s="59"/>
    </row>
    <row r="3" spans="1:56">
      <c r="A3" s="389"/>
      <c r="B3" s="391"/>
      <c r="C3" s="391"/>
      <c r="D3" s="485"/>
      <c r="E3" s="487"/>
      <c r="F3" s="445" t="s">
        <v>25</v>
      </c>
      <c r="G3" s="446"/>
      <c r="H3" s="446"/>
      <c r="I3" s="446"/>
      <c r="J3" s="447"/>
      <c r="K3" s="34">
        <v>36</v>
      </c>
      <c r="L3" s="34">
        <v>37</v>
      </c>
      <c r="M3" s="276">
        <v>38</v>
      </c>
      <c r="N3" s="276">
        <v>39</v>
      </c>
      <c r="O3" s="34">
        <v>40</v>
      </c>
      <c r="P3" s="34">
        <v>41</v>
      </c>
      <c r="Q3" s="34">
        <v>42</v>
      </c>
      <c r="R3" s="277">
        <v>43</v>
      </c>
      <c r="S3" s="277">
        <v>44</v>
      </c>
      <c r="T3" s="34">
        <v>45</v>
      </c>
      <c r="U3" s="34">
        <v>46</v>
      </c>
      <c r="V3" s="34">
        <v>47</v>
      </c>
      <c r="W3" s="276">
        <v>48</v>
      </c>
      <c r="X3" s="276">
        <v>49</v>
      </c>
      <c r="Y3" s="34">
        <v>50</v>
      </c>
      <c r="Z3" s="34">
        <v>51</v>
      </c>
      <c r="AA3" s="277">
        <v>52</v>
      </c>
      <c r="AB3" s="277">
        <v>1</v>
      </c>
      <c r="AC3" s="34">
        <v>2</v>
      </c>
      <c r="AD3" s="34">
        <v>3</v>
      </c>
      <c r="AE3" s="278">
        <v>4</v>
      </c>
      <c r="AF3" s="278">
        <v>5</v>
      </c>
      <c r="AG3" s="4">
        <v>6</v>
      </c>
      <c r="AH3" s="4">
        <v>7</v>
      </c>
      <c r="AI3" s="279">
        <v>8</v>
      </c>
      <c r="AJ3" s="279">
        <v>9</v>
      </c>
      <c r="AK3" s="4">
        <v>10</v>
      </c>
      <c r="AL3" s="4">
        <v>11</v>
      </c>
      <c r="AM3" s="278">
        <v>12</v>
      </c>
      <c r="AN3" s="278">
        <v>13</v>
      </c>
      <c r="AO3" s="4">
        <v>14</v>
      </c>
      <c r="AP3" s="4">
        <v>15</v>
      </c>
      <c r="AQ3" s="279">
        <v>16</v>
      </c>
      <c r="AR3" s="279">
        <v>17</v>
      </c>
      <c r="AS3" s="4">
        <v>18</v>
      </c>
      <c r="AT3" s="4">
        <v>19</v>
      </c>
      <c r="AU3" s="278">
        <v>20</v>
      </c>
      <c r="AV3" s="4">
        <v>21</v>
      </c>
      <c r="AW3" s="4">
        <v>22</v>
      </c>
      <c r="AX3" s="4">
        <v>23</v>
      </c>
      <c r="AY3" s="4">
        <v>24</v>
      </c>
      <c r="AZ3" s="4">
        <v>25</v>
      </c>
      <c r="BA3" s="4">
        <v>26</v>
      </c>
      <c r="BB3" s="278">
        <v>27</v>
      </c>
      <c r="BC3" s="438" t="s">
        <v>26</v>
      </c>
      <c r="BD3" s="493"/>
    </row>
    <row r="4" spans="1:56">
      <c r="A4" s="389"/>
      <c r="B4" s="391"/>
      <c r="C4" s="391"/>
      <c r="D4" s="485"/>
      <c r="E4" s="487"/>
      <c r="F4" s="450" t="s">
        <v>27</v>
      </c>
      <c r="G4" s="5">
        <f>(SUMIF($E$6:$E$107,"=0",G6:G107)+SUMIF($E$6:$E$107,"=2",G6:G107))/17</f>
        <v>27.352941176470587</v>
      </c>
      <c r="H4" s="5">
        <f>(K4+L4+M4+N4+O4+P4+Q4+T4+U4+V4+W4+X4+Y4+Z4+AC4+AD4+AE4)/17</f>
        <v>25.970588235294116</v>
      </c>
      <c r="I4" s="448" t="s">
        <v>28</v>
      </c>
      <c r="J4" s="448" t="s">
        <v>29</v>
      </c>
      <c r="K4" s="5">
        <f t="shared" ref="K4:BB4" si="0">SUMIF($E$6:$E$205,"=0",K6:K205)+SUMIF($E$6:$E$205,"=2",K6:K205)</f>
        <v>25</v>
      </c>
      <c r="L4" s="5">
        <f t="shared" si="0"/>
        <v>22.5</v>
      </c>
      <c r="M4" s="280">
        <f t="shared" si="0"/>
        <v>22.5</v>
      </c>
      <c r="N4" s="280">
        <f t="shared" si="0"/>
        <v>25.5</v>
      </c>
      <c r="O4" s="5">
        <f t="shared" si="0"/>
        <v>29.5</v>
      </c>
      <c r="P4" s="5">
        <f t="shared" si="0"/>
        <v>30.5</v>
      </c>
      <c r="Q4" s="5">
        <f t="shared" si="0"/>
        <v>31</v>
      </c>
      <c r="R4" s="281">
        <f t="shared" si="0"/>
        <v>0</v>
      </c>
      <c r="S4" s="281">
        <f t="shared" si="0"/>
        <v>0</v>
      </c>
      <c r="T4" s="5">
        <f t="shared" si="0"/>
        <v>29</v>
      </c>
      <c r="U4" s="5">
        <f t="shared" si="0"/>
        <v>27.5</v>
      </c>
      <c r="V4" s="5">
        <f t="shared" si="0"/>
        <v>23.5</v>
      </c>
      <c r="W4" s="280">
        <f t="shared" si="0"/>
        <v>28</v>
      </c>
      <c r="X4" s="280">
        <f t="shared" si="0"/>
        <v>30</v>
      </c>
      <c r="Y4" s="5">
        <f t="shared" si="0"/>
        <v>29</v>
      </c>
      <c r="Z4" s="5">
        <f t="shared" si="0"/>
        <v>23</v>
      </c>
      <c r="AA4" s="281">
        <f t="shared" si="0"/>
        <v>0</v>
      </c>
      <c r="AB4" s="281">
        <f t="shared" si="0"/>
        <v>0</v>
      </c>
      <c r="AC4" s="5">
        <f t="shared" si="0"/>
        <v>24</v>
      </c>
      <c r="AD4" s="5">
        <f t="shared" si="0"/>
        <v>21.5</v>
      </c>
      <c r="AE4" s="280">
        <f t="shared" si="0"/>
        <v>19.5</v>
      </c>
      <c r="AF4" s="280">
        <f t="shared" si="0"/>
        <v>25.5</v>
      </c>
      <c r="AG4" s="5">
        <f t="shared" si="0"/>
        <v>25.5</v>
      </c>
      <c r="AH4" s="5">
        <f t="shared" si="0"/>
        <v>32</v>
      </c>
      <c r="AI4" s="281">
        <f t="shared" si="0"/>
        <v>0</v>
      </c>
      <c r="AJ4" s="281">
        <f t="shared" si="0"/>
        <v>0</v>
      </c>
      <c r="AK4" s="5">
        <f t="shared" si="0"/>
        <v>32.5</v>
      </c>
      <c r="AL4" s="5">
        <f t="shared" si="0"/>
        <v>32.5</v>
      </c>
      <c r="AM4" s="280">
        <f t="shared" si="0"/>
        <v>27.5</v>
      </c>
      <c r="AN4" s="280">
        <f t="shared" si="0"/>
        <v>24.5</v>
      </c>
      <c r="AO4" s="5">
        <f t="shared" si="0"/>
        <v>23</v>
      </c>
      <c r="AP4" s="5">
        <f t="shared" si="0"/>
        <v>17.5</v>
      </c>
      <c r="AQ4" s="281">
        <f t="shared" si="0"/>
        <v>0</v>
      </c>
      <c r="AR4" s="281">
        <f t="shared" si="0"/>
        <v>0</v>
      </c>
      <c r="AS4" s="5">
        <f t="shared" si="0"/>
        <v>21</v>
      </c>
      <c r="AT4" s="5">
        <f t="shared" si="0"/>
        <v>21</v>
      </c>
      <c r="AU4" s="280">
        <f t="shared" si="0"/>
        <v>25.5</v>
      </c>
      <c r="AV4" s="5">
        <f t="shared" si="0"/>
        <v>22.5</v>
      </c>
      <c r="AW4" s="5">
        <f t="shared" si="0"/>
        <v>24</v>
      </c>
      <c r="AX4" s="5">
        <f t="shared" si="0"/>
        <v>23</v>
      </c>
      <c r="AY4" s="5">
        <f t="shared" si="0"/>
        <v>19.5</v>
      </c>
      <c r="AZ4" s="5">
        <f t="shared" si="0"/>
        <v>19.5</v>
      </c>
      <c r="BA4" s="5">
        <f t="shared" si="0"/>
        <v>0</v>
      </c>
      <c r="BB4" s="280">
        <f t="shared" si="0"/>
        <v>0</v>
      </c>
      <c r="BC4" s="438"/>
      <c r="BD4" s="493"/>
    </row>
    <row r="5" spans="1:56" ht="15.75" thickBot="1">
      <c r="A5" s="483"/>
      <c r="B5" s="484"/>
      <c r="C5" s="484"/>
      <c r="D5" s="486"/>
      <c r="E5" s="488"/>
      <c r="F5" s="451"/>
      <c r="G5" s="18">
        <f>(SUMIF($E$6:$E$107,"=1",G6:G107)+SUMIF($E$6:$E$107,"=2",G6:G107))/12</f>
        <v>31.25</v>
      </c>
      <c r="H5" s="18">
        <f>(K5+L5+O5+P5+Q5+T5+U5+Y5+Z5+AC5+AD5+AE5)/12</f>
        <v>27.291666666666668</v>
      </c>
      <c r="I5" s="449"/>
      <c r="J5" s="449"/>
      <c r="K5" s="18">
        <f t="shared" ref="K5:BB5" si="1">SUMIF($E$6:$E$205,"=1",K6:K205)+SUMIF($E$6:$E$205,"=2",K6:K205)</f>
        <v>28</v>
      </c>
      <c r="L5" s="18">
        <f t="shared" si="1"/>
        <v>29</v>
      </c>
      <c r="M5" s="284">
        <f t="shared" si="1"/>
        <v>0</v>
      </c>
      <c r="N5" s="284">
        <f t="shared" si="1"/>
        <v>0</v>
      </c>
      <c r="O5" s="18">
        <f t="shared" si="1"/>
        <v>35</v>
      </c>
      <c r="P5" s="18">
        <f t="shared" si="1"/>
        <v>34.5</v>
      </c>
      <c r="Q5" s="18">
        <f t="shared" si="1"/>
        <v>34.5</v>
      </c>
      <c r="R5" s="285">
        <f t="shared" si="1"/>
        <v>0</v>
      </c>
      <c r="S5" s="285">
        <f t="shared" si="1"/>
        <v>0</v>
      </c>
      <c r="T5" s="18">
        <f t="shared" si="1"/>
        <v>28.5</v>
      </c>
      <c r="U5" s="18">
        <f t="shared" si="1"/>
        <v>32</v>
      </c>
      <c r="V5" s="18">
        <f t="shared" si="1"/>
        <v>33.5</v>
      </c>
      <c r="W5" s="284">
        <f t="shared" si="1"/>
        <v>0</v>
      </c>
      <c r="X5" s="284">
        <f t="shared" si="1"/>
        <v>0</v>
      </c>
      <c r="Y5" s="18">
        <f t="shared" si="1"/>
        <v>29</v>
      </c>
      <c r="Z5" s="18">
        <f t="shared" si="1"/>
        <v>27.5</v>
      </c>
      <c r="AA5" s="285">
        <f t="shared" si="1"/>
        <v>0</v>
      </c>
      <c r="AB5" s="285">
        <f t="shared" si="1"/>
        <v>0</v>
      </c>
      <c r="AC5" s="18">
        <f t="shared" si="1"/>
        <v>25.5</v>
      </c>
      <c r="AD5" s="18">
        <f t="shared" si="1"/>
        <v>24</v>
      </c>
      <c r="AE5" s="284">
        <f t="shared" si="1"/>
        <v>0</v>
      </c>
      <c r="AF5" s="284">
        <f t="shared" si="1"/>
        <v>0</v>
      </c>
      <c r="AG5" s="18">
        <f t="shared" si="1"/>
        <v>13.5</v>
      </c>
      <c r="AH5" s="18">
        <f t="shared" si="1"/>
        <v>21</v>
      </c>
      <c r="AI5" s="285">
        <f t="shared" si="1"/>
        <v>0</v>
      </c>
      <c r="AJ5" s="285">
        <f t="shared" si="1"/>
        <v>0</v>
      </c>
      <c r="AK5" s="18">
        <f t="shared" si="1"/>
        <v>19.5</v>
      </c>
      <c r="AL5" s="18">
        <f t="shared" si="1"/>
        <v>20</v>
      </c>
      <c r="AM5" s="284">
        <f t="shared" si="1"/>
        <v>0</v>
      </c>
      <c r="AN5" s="284">
        <f t="shared" si="1"/>
        <v>0</v>
      </c>
      <c r="AO5" s="18">
        <f t="shared" si="1"/>
        <v>27.5</v>
      </c>
      <c r="AP5" s="18">
        <f t="shared" si="1"/>
        <v>28</v>
      </c>
      <c r="AQ5" s="285">
        <f t="shared" si="1"/>
        <v>0</v>
      </c>
      <c r="AR5" s="285">
        <f t="shared" si="1"/>
        <v>0</v>
      </c>
      <c r="AS5" s="18">
        <f t="shared" si="1"/>
        <v>29</v>
      </c>
      <c r="AT5" s="18">
        <f t="shared" si="1"/>
        <v>29</v>
      </c>
      <c r="AU5" s="284">
        <f t="shared" si="1"/>
        <v>0</v>
      </c>
      <c r="AV5" s="18">
        <f t="shared" si="1"/>
        <v>29</v>
      </c>
      <c r="AW5" s="18">
        <f t="shared" si="1"/>
        <v>29.5</v>
      </c>
      <c r="AX5" s="18">
        <f t="shared" si="1"/>
        <v>31</v>
      </c>
      <c r="AY5" s="18">
        <f t="shared" si="1"/>
        <v>28.5</v>
      </c>
      <c r="AZ5" s="18">
        <f t="shared" si="1"/>
        <v>18</v>
      </c>
      <c r="BA5" s="18">
        <f t="shared" si="1"/>
        <v>17.5</v>
      </c>
      <c r="BB5" s="284">
        <f t="shared" si="1"/>
        <v>0</v>
      </c>
      <c r="BC5" s="405"/>
      <c r="BD5" s="494"/>
    </row>
    <row r="6" spans="1:56" ht="15" customHeight="1" thickTop="1">
      <c r="A6" s="452" t="s">
        <v>30</v>
      </c>
      <c r="B6" s="426" t="s">
        <v>31</v>
      </c>
      <c r="C6" s="455" t="s">
        <v>32</v>
      </c>
      <c r="D6" s="17">
        <f>COUNT(K6:BA6)</f>
        <v>11</v>
      </c>
      <c r="E6" s="17">
        <v>0</v>
      </c>
      <c r="F6" s="15" t="s">
        <v>33</v>
      </c>
      <c r="G6" s="23">
        <v>16.5</v>
      </c>
      <c r="H6" s="23">
        <f t="shared" ref="H6:H69" si="2">G6-SUM(K6:BA6)</f>
        <v>0</v>
      </c>
      <c r="I6" s="17" t="s">
        <v>34</v>
      </c>
      <c r="J6" s="407" t="s">
        <v>35</v>
      </c>
      <c r="K6" s="103">
        <v>1.5</v>
      </c>
      <c r="L6" s="23">
        <v>1.5</v>
      </c>
      <c r="M6" s="200">
        <v>1.5</v>
      </c>
      <c r="N6" s="200">
        <v>1.5</v>
      </c>
      <c r="O6" s="23">
        <v>1.5</v>
      </c>
      <c r="P6" s="23">
        <v>1.5</v>
      </c>
      <c r="Q6" s="23">
        <v>1.5</v>
      </c>
      <c r="R6" s="89"/>
      <c r="S6" s="89"/>
      <c r="T6" s="23">
        <v>1.5</v>
      </c>
      <c r="U6" s="23">
        <v>1.5</v>
      </c>
      <c r="V6" s="23">
        <v>1.5</v>
      </c>
      <c r="W6" s="200">
        <v>1.5</v>
      </c>
      <c r="X6" s="200"/>
      <c r="Y6" s="23"/>
      <c r="Z6" s="23"/>
      <c r="AA6" s="89"/>
      <c r="AB6" s="89"/>
      <c r="AC6" s="23"/>
      <c r="AD6" s="23"/>
      <c r="AE6" s="200"/>
      <c r="AF6" s="200"/>
      <c r="AG6" s="23"/>
      <c r="AH6" s="23"/>
      <c r="AI6" s="89"/>
      <c r="AJ6" s="89"/>
      <c r="AK6" s="23"/>
      <c r="AL6" s="23"/>
      <c r="AM6" s="200"/>
      <c r="AN6" s="200"/>
      <c r="AO6" s="23"/>
      <c r="AP6" s="23"/>
      <c r="AQ6" s="89"/>
      <c r="AR6" s="89"/>
      <c r="AS6" s="23"/>
      <c r="AT6" s="23"/>
      <c r="AU6" s="200"/>
      <c r="AV6" s="23"/>
      <c r="AW6" s="23"/>
      <c r="AX6" s="23"/>
      <c r="AY6" s="23"/>
      <c r="AZ6" s="23"/>
      <c r="BA6" s="23"/>
      <c r="BB6" s="200"/>
      <c r="BC6" s="403"/>
      <c r="BD6" s="404"/>
    </row>
    <row r="7" spans="1:56" ht="15" customHeight="1">
      <c r="A7" s="453"/>
      <c r="B7" s="427"/>
      <c r="C7" s="456"/>
      <c r="D7" s="5">
        <f t="shared" ref="D7:D71" si="3">COUNT(K7:BA7)</f>
        <v>12</v>
      </c>
      <c r="E7" s="5">
        <v>0</v>
      </c>
      <c r="F7" s="10" t="s">
        <v>36</v>
      </c>
      <c r="G7" s="24">
        <v>18</v>
      </c>
      <c r="H7" s="24">
        <f t="shared" si="2"/>
        <v>0</v>
      </c>
      <c r="I7" s="5" t="s">
        <v>34</v>
      </c>
      <c r="J7" s="408"/>
      <c r="K7" s="104">
        <v>1.5</v>
      </c>
      <c r="L7" s="24">
        <v>1.5</v>
      </c>
      <c r="M7" s="202">
        <v>1.5</v>
      </c>
      <c r="N7" s="202">
        <v>1.5</v>
      </c>
      <c r="O7" s="24">
        <v>1.5</v>
      </c>
      <c r="P7" s="24">
        <v>1.5</v>
      </c>
      <c r="Q7" s="24">
        <v>1.5</v>
      </c>
      <c r="R7" s="90"/>
      <c r="S7" s="90"/>
      <c r="T7" s="24">
        <v>1.5</v>
      </c>
      <c r="U7" s="24">
        <v>1.5</v>
      </c>
      <c r="V7" s="24">
        <v>1.5</v>
      </c>
      <c r="W7" s="202">
        <v>1.5</v>
      </c>
      <c r="X7" s="202">
        <v>1.5</v>
      </c>
      <c r="Y7" s="24"/>
      <c r="Z7" s="24"/>
      <c r="AA7" s="90"/>
      <c r="AB7" s="90"/>
      <c r="AC7" s="24"/>
      <c r="AD7" s="24"/>
      <c r="AE7" s="202"/>
      <c r="AF7" s="202"/>
      <c r="AG7" s="24"/>
      <c r="AH7" s="24"/>
      <c r="AI7" s="90"/>
      <c r="AJ7" s="90"/>
      <c r="AK7" s="24"/>
      <c r="AL7" s="24"/>
      <c r="AM7" s="202"/>
      <c r="AN7" s="202"/>
      <c r="AO7" s="24"/>
      <c r="AP7" s="24"/>
      <c r="AQ7" s="90"/>
      <c r="AR7" s="90"/>
      <c r="AS7" s="24"/>
      <c r="AT7" s="24"/>
      <c r="AU7" s="202"/>
      <c r="AV7" s="24"/>
      <c r="AW7" s="24"/>
      <c r="AX7" s="24"/>
      <c r="AY7" s="24"/>
      <c r="AZ7" s="24"/>
      <c r="BA7" s="24"/>
      <c r="BB7" s="202"/>
      <c r="BC7" s="438"/>
      <c r="BD7" s="442"/>
    </row>
    <row r="8" spans="1:56" ht="15" customHeight="1">
      <c r="A8" s="453"/>
      <c r="B8" s="427"/>
      <c r="C8" s="456"/>
      <c r="D8" s="5">
        <f t="shared" si="3"/>
        <v>10</v>
      </c>
      <c r="E8" s="5">
        <v>1</v>
      </c>
      <c r="F8" s="10" t="s">
        <v>33</v>
      </c>
      <c r="G8" s="24">
        <v>16.5</v>
      </c>
      <c r="H8" s="24">
        <f t="shared" si="2"/>
        <v>0</v>
      </c>
      <c r="I8" s="5" t="s">
        <v>34</v>
      </c>
      <c r="J8" s="408" t="s">
        <v>37</v>
      </c>
      <c r="K8" s="104">
        <v>1.5</v>
      </c>
      <c r="L8" s="24">
        <v>3</v>
      </c>
      <c r="M8" s="202"/>
      <c r="N8" s="202"/>
      <c r="O8" s="24">
        <v>1.5</v>
      </c>
      <c r="P8" s="24">
        <v>1.5</v>
      </c>
      <c r="Q8" s="24">
        <v>1.5</v>
      </c>
      <c r="R8" s="90"/>
      <c r="S8" s="90"/>
      <c r="T8" s="24">
        <v>1.5</v>
      </c>
      <c r="U8" s="24">
        <v>1.5</v>
      </c>
      <c r="V8" s="24">
        <v>1.5</v>
      </c>
      <c r="W8" s="202"/>
      <c r="X8" s="202"/>
      <c r="Y8" s="24">
        <v>1.5</v>
      </c>
      <c r="Z8" s="24">
        <v>1.5</v>
      </c>
      <c r="AA8" s="90"/>
      <c r="AB8" s="90"/>
      <c r="AC8" s="24"/>
      <c r="AD8" s="24"/>
      <c r="AE8" s="202"/>
      <c r="AF8" s="202"/>
      <c r="AG8" s="24"/>
      <c r="AH8" s="24"/>
      <c r="AI8" s="90"/>
      <c r="AJ8" s="90"/>
      <c r="AK8" s="24"/>
      <c r="AL8" s="24"/>
      <c r="AM8" s="202"/>
      <c r="AN8" s="202"/>
      <c r="AO8" s="24"/>
      <c r="AP8" s="24"/>
      <c r="AQ8" s="90"/>
      <c r="AR8" s="90"/>
      <c r="AS8" s="24"/>
      <c r="AT8" s="24"/>
      <c r="AU8" s="202"/>
      <c r="AV8" s="24"/>
      <c r="AW8" s="24"/>
      <c r="AX8" s="24"/>
      <c r="AY8" s="24"/>
      <c r="AZ8" s="24"/>
      <c r="BA8" s="24"/>
      <c r="BB8" s="202"/>
      <c r="BC8" s="438"/>
      <c r="BD8" s="442"/>
    </row>
    <row r="9" spans="1:56" ht="15" customHeight="1">
      <c r="A9" s="453"/>
      <c r="B9" s="427"/>
      <c r="C9" s="456"/>
      <c r="D9" s="5">
        <f t="shared" si="3"/>
        <v>10</v>
      </c>
      <c r="E9" s="5">
        <v>1</v>
      </c>
      <c r="F9" s="10" t="s">
        <v>36</v>
      </c>
      <c r="G9" s="24">
        <v>18</v>
      </c>
      <c r="H9" s="24">
        <f t="shared" si="2"/>
        <v>0</v>
      </c>
      <c r="I9" s="5" t="s">
        <v>34</v>
      </c>
      <c r="J9" s="408"/>
      <c r="K9" s="104">
        <v>1.5</v>
      </c>
      <c r="L9" s="24">
        <v>1.5</v>
      </c>
      <c r="M9" s="202"/>
      <c r="N9" s="202"/>
      <c r="O9" s="24">
        <v>1.5</v>
      </c>
      <c r="P9" s="24">
        <v>3</v>
      </c>
      <c r="Q9" s="24">
        <v>1.5</v>
      </c>
      <c r="R9" s="90"/>
      <c r="S9" s="90"/>
      <c r="T9" s="24">
        <v>1.5</v>
      </c>
      <c r="U9" s="24">
        <v>1.5</v>
      </c>
      <c r="V9" s="24">
        <v>1.5</v>
      </c>
      <c r="W9" s="202"/>
      <c r="X9" s="202"/>
      <c r="Y9" s="24">
        <v>3</v>
      </c>
      <c r="Z9" s="24">
        <v>1.5</v>
      </c>
      <c r="AA9" s="90"/>
      <c r="AB9" s="90"/>
      <c r="AC9" s="24"/>
      <c r="AD9" s="24"/>
      <c r="AE9" s="202"/>
      <c r="AF9" s="202"/>
      <c r="AG9" s="24"/>
      <c r="AH9" s="24"/>
      <c r="AI9" s="90"/>
      <c r="AJ9" s="90"/>
      <c r="AK9" s="24"/>
      <c r="AL9" s="24"/>
      <c r="AM9" s="202"/>
      <c r="AN9" s="202"/>
      <c r="AO9" s="24"/>
      <c r="AP9" s="24"/>
      <c r="AQ9" s="90"/>
      <c r="AR9" s="90"/>
      <c r="AS9" s="24"/>
      <c r="AT9" s="24"/>
      <c r="AU9" s="202"/>
      <c r="AV9" s="24"/>
      <c r="AW9" s="24"/>
      <c r="AX9" s="24"/>
      <c r="AY9" s="24"/>
      <c r="AZ9" s="24"/>
      <c r="BA9" s="24"/>
      <c r="BB9" s="202"/>
      <c r="BC9" s="438"/>
      <c r="BD9" s="442"/>
    </row>
    <row r="10" spans="1:56" ht="15" customHeight="1">
      <c r="A10" s="453"/>
      <c r="B10" s="427"/>
      <c r="C10" s="456" t="s">
        <v>38</v>
      </c>
      <c r="D10" s="5">
        <f t="shared" si="3"/>
        <v>1</v>
      </c>
      <c r="E10" s="5">
        <v>0</v>
      </c>
      <c r="F10" s="10" t="s">
        <v>33</v>
      </c>
      <c r="G10" s="24">
        <v>1.5</v>
      </c>
      <c r="H10" s="24">
        <f t="shared" si="2"/>
        <v>0</v>
      </c>
      <c r="I10" s="5" t="s">
        <v>34</v>
      </c>
      <c r="J10" s="408" t="s">
        <v>35</v>
      </c>
      <c r="K10" s="105"/>
      <c r="L10" s="24"/>
      <c r="M10" s="202"/>
      <c r="N10" s="202"/>
      <c r="O10" s="24"/>
      <c r="P10" s="24"/>
      <c r="Q10" s="24"/>
      <c r="R10" s="90"/>
      <c r="S10" s="90"/>
      <c r="T10" s="24"/>
      <c r="U10" s="24"/>
      <c r="V10" s="2"/>
      <c r="W10" s="202"/>
      <c r="X10" s="202"/>
      <c r="Y10" s="24">
        <v>1.5</v>
      </c>
      <c r="Z10" s="24"/>
      <c r="AA10" s="90"/>
      <c r="AB10" s="90"/>
      <c r="AC10" s="24"/>
      <c r="AD10" s="24"/>
      <c r="AE10" s="202"/>
      <c r="AF10" s="202"/>
      <c r="AG10" s="24"/>
      <c r="AH10" s="24"/>
      <c r="AI10" s="90"/>
      <c r="AJ10" s="90"/>
      <c r="AK10" s="24"/>
      <c r="AL10" s="24"/>
      <c r="AM10" s="202"/>
      <c r="AN10" s="202"/>
      <c r="AO10" s="24"/>
      <c r="AP10" s="24"/>
      <c r="AQ10" s="90"/>
      <c r="AR10" s="90"/>
      <c r="AS10" s="24"/>
      <c r="AT10" s="24"/>
      <c r="AU10" s="202"/>
      <c r="AV10" s="24"/>
      <c r="AW10" s="24"/>
      <c r="AX10" s="24"/>
      <c r="AY10" s="24"/>
      <c r="AZ10" s="24"/>
      <c r="BA10" s="24"/>
      <c r="BB10" s="202"/>
      <c r="BC10" s="438"/>
      <c r="BD10" s="442"/>
    </row>
    <row r="11" spans="1:56" s="1" customFormat="1" ht="15" customHeight="1">
      <c r="A11" s="453"/>
      <c r="B11" s="427"/>
      <c r="C11" s="456"/>
      <c r="D11" s="5">
        <f t="shared" si="3"/>
        <v>2</v>
      </c>
      <c r="E11" s="5">
        <v>0</v>
      </c>
      <c r="F11" s="10" t="s">
        <v>39</v>
      </c>
      <c r="G11" s="24">
        <v>6</v>
      </c>
      <c r="H11" s="24">
        <f t="shared" si="2"/>
        <v>0</v>
      </c>
      <c r="I11" s="5">
        <v>123</v>
      </c>
      <c r="J11" s="408"/>
      <c r="K11" s="104"/>
      <c r="L11" s="24"/>
      <c r="M11" s="202"/>
      <c r="N11" s="202"/>
      <c r="O11" s="24"/>
      <c r="P11" s="24"/>
      <c r="Q11" s="24"/>
      <c r="R11" s="90"/>
      <c r="S11" s="90"/>
      <c r="T11" s="24"/>
      <c r="U11" s="24"/>
      <c r="V11" s="24"/>
      <c r="W11" s="202"/>
      <c r="X11" s="202"/>
      <c r="Y11" s="24"/>
      <c r="Z11" s="24">
        <v>3</v>
      </c>
      <c r="AA11" s="90"/>
      <c r="AB11" s="90"/>
      <c r="AC11" s="24">
        <v>3</v>
      </c>
      <c r="AD11" s="24"/>
      <c r="AE11" s="202"/>
      <c r="AF11" s="202"/>
      <c r="AG11" s="24"/>
      <c r="AH11" s="24"/>
      <c r="AI11" s="90"/>
      <c r="AJ11" s="90"/>
      <c r="AK11" s="24"/>
      <c r="AL11" s="24"/>
      <c r="AM11" s="202"/>
      <c r="AN11" s="202"/>
      <c r="AO11" s="24"/>
      <c r="AP11" s="24"/>
      <c r="AQ11" s="90"/>
      <c r="AR11" s="90"/>
      <c r="AS11" s="24"/>
      <c r="AT11" s="24"/>
      <c r="AU11" s="202"/>
      <c r="AV11" s="24"/>
      <c r="AW11" s="24"/>
      <c r="AX11" s="24"/>
      <c r="AY11" s="24"/>
      <c r="AZ11" s="24"/>
      <c r="BA11" s="24"/>
      <c r="BB11" s="202"/>
      <c r="BC11" s="438"/>
      <c r="BD11" s="442"/>
    </row>
    <row r="12" spans="1:56" ht="15" customHeight="1">
      <c r="A12" s="453"/>
      <c r="B12" s="427"/>
      <c r="C12" s="456"/>
      <c r="D12" s="5">
        <f t="shared" si="3"/>
        <v>1</v>
      </c>
      <c r="E12" s="5">
        <v>1</v>
      </c>
      <c r="F12" s="10" t="s">
        <v>33</v>
      </c>
      <c r="G12" s="24">
        <v>1.5</v>
      </c>
      <c r="H12" s="24">
        <f t="shared" si="2"/>
        <v>0</v>
      </c>
      <c r="I12" s="5" t="s">
        <v>34</v>
      </c>
      <c r="J12" s="408" t="s">
        <v>37</v>
      </c>
      <c r="K12" s="104"/>
      <c r="L12" s="24"/>
      <c r="M12" s="202"/>
      <c r="N12" s="202"/>
      <c r="O12" s="24"/>
      <c r="P12" s="24"/>
      <c r="Q12" s="24"/>
      <c r="R12" s="90"/>
      <c r="S12" s="90"/>
      <c r="T12" s="24"/>
      <c r="U12" s="24"/>
      <c r="V12" s="24"/>
      <c r="W12" s="202"/>
      <c r="X12" s="202"/>
      <c r="Y12" s="24"/>
      <c r="Z12" s="24">
        <v>1.5</v>
      </c>
      <c r="AA12" s="90"/>
      <c r="AB12" s="90"/>
      <c r="AC12" s="24"/>
      <c r="AD12" s="24"/>
      <c r="AE12" s="202"/>
      <c r="AF12" s="202"/>
      <c r="AG12" s="24"/>
      <c r="AH12" s="24"/>
      <c r="AI12" s="90"/>
      <c r="AJ12" s="90"/>
      <c r="AK12" s="24"/>
      <c r="AL12" s="24"/>
      <c r="AM12" s="202"/>
      <c r="AN12" s="202"/>
      <c r="AO12" s="24"/>
      <c r="AP12" s="24"/>
      <c r="AQ12" s="90"/>
      <c r="AR12" s="90"/>
      <c r="AS12" s="24"/>
      <c r="AT12" s="24"/>
      <c r="AU12" s="202"/>
      <c r="AV12" s="24"/>
      <c r="AW12" s="24"/>
      <c r="AX12" s="24"/>
      <c r="AY12" s="24"/>
      <c r="AZ12" s="24"/>
      <c r="BA12" s="24"/>
      <c r="BB12" s="202"/>
      <c r="BC12" s="438"/>
      <c r="BD12" s="442"/>
    </row>
    <row r="13" spans="1:56" ht="15" customHeight="1" thickBot="1">
      <c r="A13" s="454"/>
      <c r="B13" s="428"/>
      <c r="C13" s="457"/>
      <c r="D13" s="18">
        <f t="shared" si="3"/>
        <v>2</v>
      </c>
      <c r="E13" s="18">
        <v>1</v>
      </c>
      <c r="F13" s="16" t="s">
        <v>39</v>
      </c>
      <c r="G13" s="26">
        <v>6</v>
      </c>
      <c r="H13" s="26">
        <f t="shared" si="2"/>
        <v>0</v>
      </c>
      <c r="I13" s="18">
        <v>123</v>
      </c>
      <c r="J13" s="412"/>
      <c r="K13" s="106"/>
      <c r="L13" s="26"/>
      <c r="M13" s="201"/>
      <c r="N13" s="201"/>
      <c r="O13" s="26"/>
      <c r="P13" s="26"/>
      <c r="Q13" s="26"/>
      <c r="R13" s="91"/>
      <c r="S13" s="91"/>
      <c r="T13" s="26"/>
      <c r="U13" s="26"/>
      <c r="V13" s="26"/>
      <c r="W13" s="201"/>
      <c r="X13" s="201"/>
      <c r="Y13" s="26"/>
      <c r="Z13" s="26"/>
      <c r="AA13" s="91"/>
      <c r="AB13" s="91"/>
      <c r="AC13" s="26">
        <v>3</v>
      </c>
      <c r="AD13" s="26">
        <v>3</v>
      </c>
      <c r="AE13" s="201"/>
      <c r="AF13" s="201"/>
      <c r="AG13" s="26"/>
      <c r="AH13" s="26"/>
      <c r="AI13" s="91"/>
      <c r="AJ13" s="91"/>
      <c r="AK13" s="26"/>
      <c r="AL13" s="26"/>
      <c r="AM13" s="201"/>
      <c r="AN13" s="201"/>
      <c r="AO13" s="26"/>
      <c r="AP13" s="26"/>
      <c r="AQ13" s="91"/>
      <c r="AR13" s="91"/>
      <c r="AS13" s="26"/>
      <c r="AT13" s="26"/>
      <c r="AU13" s="201"/>
      <c r="AV13" s="26"/>
      <c r="AW13" s="26"/>
      <c r="AX13" s="26"/>
      <c r="AY13" s="26"/>
      <c r="AZ13" s="26"/>
      <c r="BA13" s="26"/>
      <c r="BB13" s="201"/>
      <c r="BC13" s="405"/>
      <c r="BD13" s="406"/>
    </row>
    <row r="14" spans="1:56" ht="15" customHeight="1" thickTop="1">
      <c r="A14" s="452" t="s">
        <v>40</v>
      </c>
      <c r="B14" s="426" t="s">
        <v>41</v>
      </c>
      <c r="C14" s="455" t="s">
        <v>32</v>
      </c>
      <c r="D14" s="17">
        <f t="shared" si="3"/>
        <v>2</v>
      </c>
      <c r="E14" s="17">
        <v>0</v>
      </c>
      <c r="F14" s="15" t="s">
        <v>33</v>
      </c>
      <c r="G14" s="23">
        <v>3</v>
      </c>
      <c r="H14" s="23">
        <f t="shared" si="2"/>
        <v>0</v>
      </c>
      <c r="I14" s="17" t="s">
        <v>34</v>
      </c>
      <c r="J14" s="407" t="s">
        <v>35</v>
      </c>
      <c r="K14" s="103">
        <v>1.5</v>
      </c>
      <c r="L14" s="23">
        <v>1.5</v>
      </c>
      <c r="M14" s="200"/>
      <c r="N14" s="200"/>
      <c r="O14" s="23"/>
      <c r="P14" s="23"/>
      <c r="Q14" s="23"/>
      <c r="R14" s="89"/>
      <c r="S14" s="89"/>
      <c r="T14" s="23"/>
      <c r="U14" s="23"/>
      <c r="V14" s="23"/>
      <c r="W14" s="200"/>
      <c r="X14" s="200"/>
      <c r="Y14" s="23"/>
      <c r="Z14" s="23"/>
      <c r="AA14" s="89"/>
      <c r="AB14" s="89"/>
      <c r="AC14" s="23"/>
      <c r="AD14" s="23"/>
      <c r="AE14" s="200"/>
      <c r="AF14" s="200"/>
      <c r="AG14" s="23"/>
      <c r="AH14" s="23"/>
      <c r="AI14" s="89"/>
      <c r="AJ14" s="89"/>
      <c r="AK14" s="23"/>
      <c r="AL14" s="23"/>
      <c r="AM14" s="200"/>
      <c r="AN14" s="200"/>
      <c r="AO14" s="23"/>
      <c r="AP14" s="23"/>
      <c r="AQ14" s="89"/>
      <c r="AR14" s="89"/>
      <c r="AS14" s="23"/>
      <c r="AT14" s="23"/>
      <c r="AU14" s="200"/>
      <c r="AV14" s="23"/>
      <c r="AW14" s="23"/>
      <c r="AX14" s="23"/>
      <c r="AY14" s="23"/>
      <c r="AZ14" s="23"/>
      <c r="BA14" s="23"/>
      <c r="BB14" s="200"/>
      <c r="BC14" s="403"/>
      <c r="BD14" s="404"/>
    </row>
    <row r="15" spans="1:56" ht="15" customHeight="1">
      <c r="A15" s="453"/>
      <c r="B15" s="427"/>
      <c r="C15" s="456"/>
      <c r="D15" s="5">
        <f t="shared" si="3"/>
        <v>12</v>
      </c>
      <c r="E15" s="5">
        <v>0</v>
      </c>
      <c r="F15" s="5" t="s">
        <v>36</v>
      </c>
      <c r="G15" s="24">
        <v>18</v>
      </c>
      <c r="H15" s="24">
        <f t="shared" si="2"/>
        <v>0</v>
      </c>
      <c r="I15" s="5" t="s">
        <v>34</v>
      </c>
      <c r="J15" s="408"/>
      <c r="K15" s="104"/>
      <c r="L15" s="24"/>
      <c r="M15" s="202">
        <v>1.5</v>
      </c>
      <c r="N15" s="202">
        <v>1.5</v>
      </c>
      <c r="O15" s="24">
        <v>1.5</v>
      </c>
      <c r="P15" s="24">
        <v>1.5</v>
      </c>
      <c r="Q15" s="24">
        <v>1.5</v>
      </c>
      <c r="R15" s="90"/>
      <c r="S15" s="90"/>
      <c r="T15" s="24">
        <v>1.5</v>
      </c>
      <c r="U15" s="24">
        <v>1.5</v>
      </c>
      <c r="V15" s="24">
        <v>1.5</v>
      </c>
      <c r="W15" s="202">
        <v>1.5</v>
      </c>
      <c r="X15" s="202">
        <v>1.5</v>
      </c>
      <c r="Y15" s="24">
        <v>1.5</v>
      </c>
      <c r="Z15" s="24">
        <v>1.5</v>
      </c>
      <c r="AA15" s="90"/>
      <c r="AB15" s="90"/>
      <c r="AC15" s="24"/>
      <c r="AD15" s="24"/>
      <c r="AE15" s="202"/>
      <c r="AF15" s="202"/>
      <c r="AG15" s="24"/>
      <c r="AH15" s="24"/>
      <c r="AI15" s="90"/>
      <c r="AJ15" s="90"/>
      <c r="AK15" s="24"/>
      <c r="AL15" s="24"/>
      <c r="AM15" s="202"/>
      <c r="AN15" s="202"/>
      <c r="AO15" s="24"/>
      <c r="AP15" s="24"/>
      <c r="AQ15" s="90"/>
      <c r="AR15" s="90"/>
      <c r="AS15" s="24"/>
      <c r="AT15" s="24"/>
      <c r="AU15" s="202"/>
      <c r="AV15" s="24"/>
      <c r="AW15" s="24"/>
      <c r="AX15" s="24"/>
      <c r="AY15" s="24"/>
      <c r="AZ15" s="24"/>
      <c r="BA15" s="24"/>
      <c r="BB15" s="202"/>
      <c r="BC15" s="438"/>
      <c r="BD15" s="442"/>
    </row>
    <row r="16" spans="1:56" ht="15" customHeight="1">
      <c r="A16" s="453"/>
      <c r="B16" s="427"/>
      <c r="C16" s="456"/>
      <c r="D16" s="5">
        <f t="shared" si="3"/>
        <v>2</v>
      </c>
      <c r="E16" s="5">
        <v>1</v>
      </c>
      <c r="F16" s="10" t="s">
        <v>33</v>
      </c>
      <c r="G16" s="24">
        <v>3</v>
      </c>
      <c r="H16" s="24">
        <f t="shared" si="2"/>
        <v>0</v>
      </c>
      <c r="I16" s="5" t="s">
        <v>34</v>
      </c>
      <c r="J16" s="408" t="s">
        <v>37</v>
      </c>
      <c r="K16" s="104">
        <v>1.5</v>
      </c>
      <c r="L16" s="24">
        <v>1.5</v>
      </c>
      <c r="M16" s="202"/>
      <c r="N16" s="202"/>
      <c r="O16" s="24"/>
      <c r="P16" s="24"/>
      <c r="Q16" s="24"/>
      <c r="R16" s="90"/>
      <c r="S16" s="90"/>
      <c r="T16" s="24"/>
      <c r="U16" s="24"/>
      <c r="V16" s="24"/>
      <c r="W16" s="202"/>
      <c r="X16" s="202"/>
      <c r="Y16" s="24"/>
      <c r="Z16" s="24"/>
      <c r="AA16" s="90"/>
      <c r="AB16" s="90"/>
      <c r="AC16" s="24"/>
      <c r="AD16" s="24"/>
      <c r="AE16" s="202"/>
      <c r="AF16" s="202"/>
      <c r="AG16" s="24"/>
      <c r="AH16" s="24"/>
      <c r="AI16" s="90"/>
      <c r="AJ16" s="90"/>
      <c r="AK16" s="24"/>
      <c r="AL16" s="24"/>
      <c r="AM16" s="202"/>
      <c r="AN16" s="202"/>
      <c r="AO16" s="24"/>
      <c r="AP16" s="24"/>
      <c r="AQ16" s="90"/>
      <c r="AR16" s="90"/>
      <c r="AS16" s="24"/>
      <c r="AT16" s="24"/>
      <c r="AU16" s="202"/>
      <c r="AV16" s="24"/>
      <c r="AW16" s="24"/>
      <c r="AX16" s="24"/>
      <c r="AY16" s="24"/>
      <c r="AZ16" s="24"/>
      <c r="BA16" s="24"/>
      <c r="BB16" s="202"/>
      <c r="BC16" s="438"/>
      <c r="BD16" s="442"/>
    </row>
    <row r="17" spans="1:56" ht="15" customHeight="1">
      <c r="A17" s="453"/>
      <c r="B17" s="427"/>
      <c r="C17" s="456"/>
      <c r="D17" s="5">
        <f t="shared" si="3"/>
        <v>10</v>
      </c>
      <c r="E17" s="5">
        <v>1</v>
      </c>
      <c r="F17" s="5" t="s">
        <v>36</v>
      </c>
      <c r="G17" s="24">
        <v>18</v>
      </c>
      <c r="H17" s="24">
        <f t="shared" si="2"/>
        <v>0</v>
      </c>
      <c r="I17" s="5" t="s">
        <v>34</v>
      </c>
      <c r="J17" s="408"/>
      <c r="K17" s="104">
        <v>1.5</v>
      </c>
      <c r="L17" s="24">
        <v>1.5</v>
      </c>
      <c r="M17" s="202"/>
      <c r="N17" s="202"/>
      <c r="O17" s="24">
        <v>1.5</v>
      </c>
      <c r="P17" s="24">
        <v>1.5</v>
      </c>
      <c r="Q17" s="24">
        <v>1.5</v>
      </c>
      <c r="R17" s="90"/>
      <c r="S17" s="90"/>
      <c r="T17" s="24">
        <v>1.5</v>
      </c>
      <c r="U17" s="24">
        <v>1.5</v>
      </c>
      <c r="V17" s="24">
        <v>1.5</v>
      </c>
      <c r="W17" s="202"/>
      <c r="X17" s="202"/>
      <c r="Y17" s="24">
        <v>3</v>
      </c>
      <c r="Z17" s="24">
        <v>3</v>
      </c>
      <c r="AA17" s="90"/>
      <c r="AB17" s="90"/>
      <c r="AC17" s="24"/>
      <c r="AD17" s="24"/>
      <c r="AE17" s="202"/>
      <c r="AF17" s="202"/>
      <c r="AG17" s="24"/>
      <c r="AH17" s="24"/>
      <c r="AI17" s="90"/>
      <c r="AJ17" s="90"/>
      <c r="AK17" s="24"/>
      <c r="AL17" s="24"/>
      <c r="AM17" s="202"/>
      <c r="AN17" s="202"/>
      <c r="AO17" s="24"/>
      <c r="AP17" s="24"/>
      <c r="AQ17" s="90"/>
      <c r="AR17" s="90"/>
      <c r="AS17" s="24"/>
      <c r="AT17" s="24"/>
      <c r="AU17" s="202"/>
      <c r="AV17" s="24"/>
      <c r="AW17" s="24"/>
      <c r="AX17" s="24"/>
      <c r="AY17" s="24"/>
      <c r="AZ17" s="24"/>
      <c r="BA17" s="24"/>
      <c r="BB17" s="202"/>
      <c r="BC17" s="438"/>
      <c r="BD17" s="442"/>
    </row>
    <row r="18" spans="1:56" ht="15" customHeight="1">
      <c r="A18" s="453"/>
      <c r="B18" s="427"/>
      <c r="C18" s="456" t="s">
        <v>38</v>
      </c>
      <c r="D18" s="5">
        <f t="shared" si="3"/>
        <v>2</v>
      </c>
      <c r="E18" s="5">
        <v>0</v>
      </c>
      <c r="F18" s="10" t="s">
        <v>39</v>
      </c>
      <c r="G18" s="24">
        <v>4.5</v>
      </c>
      <c r="H18" s="24">
        <f t="shared" si="2"/>
        <v>0</v>
      </c>
      <c r="I18" s="5">
        <v>123</v>
      </c>
      <c r="J18" s="109" t="s">
        <v>35</v>
      </c>
      <c r="K18" s="104"/>
      <c r="L18" s="24"/>
      <c r="M18" s="202"/>
      <c r="N18" s="202"/>
      <c r="O18" s="24"/>
      <c r="P18" s="24"/>
      <c r="Q18" s="24"/>
      <c r="R18" s="90"/>
      <c r="S18" s="90"/>
      <c r="T18" s="24"/>
      <c r="U18" s="24"/>
      <c r="V18" s="24"/>
      <c r="W18" s="202"/>
      <c r="X18" s="202"/>
      <c r="Y18" s="24"/>
      <c r="Z18" s="24"/>
      <c r="AA18" s="90"/>
      <c r="AB18" s="90"/>
      <c r="AC18" s="24">
        <v>3</v>
      </c>
      <c r="AD18" s="24">
        <v>1.5</v>
      </c>
      <c r="AE18" s="202"/>
      <c r="AF18" s="202"/>
      <c r="AG18" s="24"/>
      <c r="AH18" s="24"/>
      <c r="AI18" s="90"/>
      <c r="AJ18" s="90"/>
      <c r="AK18" s="24"/>
      <c r="AL18" s="24"/>
      <c r="AM18" s="202"/>
      <c r="AN18" s="202"/>
      <c r="AO18" s="24"/>
      <c r="AP18" s="24"/>
      <c r="AQ18" s="90"/>
      <c r="AR18" s="90"/>
      <c r="AS18" s="24"/>
      <c r="AT18" s="24"/>
      <c r="AU18" s="202"/>
      <c r="AV18" s="24"/>
      <c r="AW18" s="24"/>
      <c r="AX18" s="24"/>
      <c r="AY18" s="24"/>
      <c r="AZ18" s="24"/>
      <c r="BA18" s="24"/>
      <c r="BB18" s="202"/>
      <c r="BC18" s="438"/>
      <c r="BD18" s="442"/>
    </row>
    <row r="19" spans="1:56" ht="15" customHeight="1" thickBot="1">
      <c r="A19" s="454"/>
      <c r="B19" s="428"/>
      <c r="C19" s="457"/>
      <c r="D19" s="18">
        <f t="shared" si="3"/>
        <v>2</v>
      </c>
      <c r="E19" s="18">
        <v>1</v>
      </c>
      <c r="F19" s="16" t="s">
        <v>39</v>
      </c>
      <c r="G19" s="26">
        <v>4.5</v>
      </c>
      <c r="H19" s="26">
        <f t="shared" si="2"/>
        <v>0</v>
      </c>
      <c r="I19" s="18">
        <v>123</v>
      </c>
      <c r="J19" s="110" t="s">
        <v>37</v>
      </c>
      <c r="K19" s="106"/>
      <c r="L19" s="26"/>
      <c r="M19" s="201"/>
      <c r="N19" s="201"/>
      <c r="O19" s="26"/>
      <c r="P19" s="26"/>
      <c r="Q19" s="26"/>
      <c r="R19" s="91"/>
      <c r="S19" s="91"/>
      <c r="T19" s="26"/>
      <c r="U19" s="26"/>
      <c r="V19" s="26"/>
      <c r="W19" s="201"/>
      <c r="X19" s="201"/>
      <c r="Y19" s="26"/>
      <c r="Z19" s="26"/>
      <c r="AA19" s="91"/>
      <c r="AB19" s="91"/>
      <c r="AC19" s="26">
        <v>3</v>
      </c>
      <c r="AD19" s="26">
        <v>1.5</v>
      </c>
      <c r="AE19" s="201"/>
      <c r="AF19" s="201"/>
      <c r="AG19" s="26"/>
      <c r="AH19" s="26"/>
      <c r="AI19" s="91"/>
      <c r="AJ19" s="91"/>
      <c r="AK19" s="26"/>
      <c r="AL19" s="26"/>
      <c r="AM19" s="201"/>
      <c r="AN19" s="201"/>
      <c r="AO19" s="26"/>
      <c r="AP19" s="26"/>
      <c r="AQ19" s="91"/>
      <c r="AR19" s="91"/>
      <c r="AS19" s="26"/>
      <c r="AT19" s="26"/>
      <c r="AU19" s="201"/>
      <c r="AV19" s="26"/>
      <c r="AW19" s="26"/>
      <c r="AX19" s="26"/>
      <c r="AY19" s="26"/>
      <c r="AZ19" s="26"/>
      <c r="BA19" s="26"/>
      <c r="BB19" s="201"/>
      <c r="BC19" s="405"/>
      <c r="BD19" s="406"/>
    </row>
    <row r="20" spans="1:56" ht="15" customHeight="1" thickTop="1">
      <c r="A20" s="452" t="s">
        <v>42</v>
      </c>
      <c r="B20" s="426" t="s">
        <v>43</v>
      </c>
      <c r="C20" s="455" t="s">
        <v>44</v>
      </c>
      <c r="D20" s="17">
        <f t="shared" si="3"/>
        <v>7</v>
      </c>
      <c r="E20" s="17">
        <v>0</v>
      </c>
      <c r="F20" s="15" t="s">
        <v>33</v>
      </c>
      <c r="G20" s="23">
        <v>10.5</v>
      </c>
      <c r="H20" s="23">
        <f t="shared" si="2"/>
        <v>0</v>
      </c>
      <c r="I20" s="17" t="s">
        <v>34</v>
      </c>
      <c r="J20" s="407" t="s">
        <v>35</v>
      </c>
      <c r="K20" s="103"/>
      <c r="L20" s="23">
        <v>1.5</v>
      </c>
      <c r="M20" s="200">
        <v>1.5</v>
      </c>
      <c r="N20" s="200">
        <v>1.5</v>
      </c>
      <c r="O20" s="23"/>
      <c r="P20" s="23">
        <v>1.5</v>
      </c>
      <c r="Q20" s="23">
        <v>1.5</v>
      </c>
      <c r="R20" s="89"/>
      <c r="S20" s="89"/>
      <c r="T20" s="23">
        <v>1.5</v>
      </c>
      <c r="U20" s="23">
        <v>1.5</v>
      </c>
      <c r="V20" s="23"/>
      <c r="W20" s="200"/>
      <c r="X20" s="200"/>
      <c r="Y20" s="23"/>
      <c r="Z20" s="23"/>
      <c r="AA20" s="89"/>
      <c r="AB20" s="89"/>
      <c r="AC20" s="23"/>
      <c r="AD20" s="23"/>
      <c r="AE20" s="200"/>
      <c r="AF20" s="200"/>
      <c r="AG20" s="23"/>
      <c r="AH20" s="23"/>
      <c r="AI20" s="89"/>
      <c r="AJ20" s="89"/>
      <c r="AK20" s="23"/>
      <c r="AL20" s="23"/>
      <c r="AM20" s="200"/>
      <c r="AN20" s="200"/>
      <c r="AO20" s="23"/>
      <c r="AP20" s="23"/>
      <c r="AQ20" s="89"/>
      <c r="AR20" s="89"/>
      <c r="AS20" s="23"/>
      <c r="AT20" s="23"/>
      <c r="AU20" s="200"/>
      <c r="AV20" s="23"/>
      <c r="AW20" s="23"/>
      <c r="AX20" s="23"/>
      <c r="AY20" s="23"/>
      <c r="AZ20" s="23"/>
      <c r="BA20" s="23"/>
      <c r="BB20" s="200"/>
      <c r="BC20" s="403"/>
      <c r="BD20" s="404"/>
    </row>
    <row r="21" spans="1:56" ht="15" customHeight="1">
      <c r="A21" s="453"/>
      <c r="B21" s="427"/>
      <c r="C21" s="456"/>
      <c r="D21" s="5">
        <f t="shared" si="3"/>
        <v>7</v>
      </c>
      <c r="E21" s="5">
        <v>0</v>
      </c>
      <c r="F21" s="10" t="s">
        <v>36</v>
      </c>
      <c r="G21" s="24">
        <v>10.5</v>
      </c>
      <c r="H21" s="24">
        <f t="shared" si="2"/>
        <v>0</v>
      </c>
      <c r="I21" s="5" t="s">
        <v>34</v>
      </c>
      <c r="J21" s="408"/>
      <c r="K21" s="104"/>
      <c r="L21" s="24">
        <v>1.5</v>
      </c>
      <c r="M21" s="202">
        <v>1.5</v>
      </c>
      <c r="N21" s="202">
        <v>1.5</v>
      </c>
      <c r="O21" s="24"/>
      <c r="P21" s="24">
        <v>1.5</v>
      </c>
      <c r="Q21" s="24">
        <v>1.5</v>
      </c>
      <c r="R21" s="90"/>
      <c r="S21" s="90"/>
      <c r="T21" s="24">
        <v>1.5</v>
      </c>
      <c r="U21" s="24">
        <v>1.5</v>
      </c>
      <c r="V21" s="24"/>
      <c r="W21" s="202"/>
      <c r="X21" s="202"/>
      <c r="Y21" s="24"/>
      <c r="Z21" s="24"/>
      <c r="AA21" s="90"/>
      <c r="AB21" s="90"/>
      <c r="AC21" s="24"/>
      <c r="AD21" s="24"/>
      <c r="AE21" s="202"/>
      <c r="AF21" s="202"/>
      <c r="AG21" s="24"/>
      <c r="AH21" s="24"/>
      <c r="AI21" s="90"/>
      <c r="AJ21" s="90"/>
      <c r="AK21" s="24"/>
      <c r="AL21" s="24"/>
      <c r="AM21" s="202"/>
      <c r="AN21" s="202"/>
      <c r="AO21" s="24"/>
      <c r="AP21" s="24"/>
      <c r="AQ21" s="90"/>
      <c r="AR21" s="90"/>
      <c r="AS21" s="24"/>
      <c r="AT21" s="24"/>
      <c r="AU21" s="202"/>
      <c r="AV21" s="24"/>
      <c r="AW21" s="24"/>
      <c r="AX21" s="24"/>
      <c r="AY21" s="24"/>
      <c r="AZ21" s="24"/>
      <c r="BA21" s="24"/>
      <c r="BB21" s="202"/>
      <c r="BC21" s="438"/>
      <c r="BD21" s="442"/>
    </row>
    <row r="22" spans="1:56" ht="15" customHeight="1">
      <c r="A22" s="453"/>
      <c r="B22" s="427"/>
      <c r="C22" s="456"/>
      <c r="D22" s="5">
        <f t="shared" si="3"/>
        <v>3</v>
      </c>
      <c r="E22" s="5">
        <v>0</v>
      </c>
      <c r="F22" s="10" t="s">
        <v>39</v>
      </c>
      <c r="G22" s="24">
        <v>6</v>
      </c>
      <c r="H22" s="24">
        <f t="shared" si="2"/>
        <v>0</v>
      </c>
      <c r="I22" s="5">
        <v>129</v>
      </c>
      <c r="J22" s="408"/>
      <c r="K22" s="104"/>
      <c r="L22" s="24"/>
      <c r="M22" s="202"/>
      <c r="N22" s="202"/>
      <c r="O22" s="24">
        <v>2</v>
      </c>
      <c r="P22" s="24"/>
      <c r="Q22" s="24"/>
      <c r="R22" s="90"/>
      <c r="S22" s="90"/>
      <c r="T22" s="24"/>
      <c r="U22" s="24"/>
      <c r="V22" s="24">
        <v>2</v>
      </c>
      <c r="W22" s="202">
        <v>2</v>
      </c>
      <c r="X22" s="202"/>
      <c r="Y22" s="24"/>
      <c r="Z22" s="24"/>
      <c r="AA22" s="90"/>
      <c r="AB22" s="90"/>
      <c r="AC22" s="24"/>
      <c r="AD22" s="24"/>
      <c r="AE22" s="202"/>
      <c r="AF22" s="202"/>
      <c r="AG22" s="24"/>
      <c r="AH22" s="24"/>
      <c r="AI22" s="90"/>
      <c r="AJ22" s="90"/>
      <c r="AK22" s="24"/>
      <c r="AL22" s="24"/>
      <c r="AM22" s="202"/>
      <c r="AN22" s="202"/>
      <c r="AO22" s="24"/>
      <c r="AP22" s="24"/>
      <c r="AQ22" s="90"/>
      <c r="AR22" s="90"/>
      <c r="AS22" s="24"/>
      <c r="AT22" s="24"/>
      <c r="AU22" s="202"/>
      <c r="AV22" s="24"/>
      <c r="AW22" s="24"/>
      <c r="AX22" s="24"/>
      <c r="AY22" s="24"/>
      <c r="AZ22" s="24"/>
      <c r="BA22" s="24"/>
      <c r="BB22" s="202"/>
      <c r="BC22" s="438"/>
      <c r="BD22" s="442"/>
    </row>
    <row r="23" spans="1:56" ht="15" customHeight="1">
      <c r="A23" s="453"/>
      <c r="B23" s="427"/>
      <c r="C23" s="456"/>
      <c r="D23" s="5">
        <f t="shared" si="3"/>
        <v>7</v>
      </c>
      <c r="E23" s="5">
        <v>1</v>
      </c>
      <c r="F23" s="10" t="s">
        <v>33</v>
      </c>
      <c r="G23" s="24">
        <v>10.5</v>
      </c>
      <c r="H23" s="24">
        <f t="shared" si="2"/>
        <v>0</v>
      </c>
      <c r="I23" s="5" t="s">
        <v>34</v>
      </c>
      <c r="J23" s="408" t="s">
        <v>37</v>
      </c>
      <c r="K23" s="104"/>
      <c r="L23" s="24">
        <v>1.5</v>
      </c>
      <c r="M23" s="202"/>
      <c r="N23" s="202"/>
      <c r="O23" s="24">
        <v>1.5</v>
      </c>
      <c r="P23" s="24">
        <v>1.5</v>
      </c>
      <c r="Q23" s="24"/>
      <c r="R23" s="90"/>
      <c r="S23" s="90"/>
      <c r="T23" s="24">
        <v>1.5</v>
      </c>
      <c r="U23" s="24">
        <v>1.5</v>
      </c>
      <c r="V23" s="24">
        <v>1.5</v>
      </c>
      <c r="W23" s="202"/>
      <c r="X23" s="202"/>
      <c r="Y23" s="24">
        <v>1.5</v>
      </c>
      <c r="Z23" s="24"/>
      <c r="AA23" s="90"/>
      <c r="AB23" s="90"/>
      <c r="AC23" s="24"/>
      <c r="AD23" s="24"/>
      <c r="AE23" s="202"/>
      <c r="AF23" s="202"/>
      <c r="AG23" s="24"/>
      <c r="AH23" s="24"/>
      <c r="AI23" s="90"/>
      <c r="AJ23" s="90"/>
      <c r="AK23" s="24"/>
      <c r="AL23" s="24"/>
      <c r="AM23" s="202"/>
      <c r="AN23" s="202"/>
      <c r="AO23" s="24"/>
      <c r="AP23" s="24"/>
      <c r="AQ23" s="90"/>
      <c r="AR23" s="90"/>
      <c r="AS23" s="24"/>
      <c r="AT23" s="24"/>
      <c r="AU23" s="202"/>
      <c r="AV23" s="24"/>
      <c r="AW23" s="24"/>
      <c r="AX23" s="24"/>
      <c r="AY23" s="24"/>
      <c r="AZ23" s="24"/>
      <c r="BA23" s="24"/>
      <c r="BB23" s="202"/>
      <c r="BC23" s="438"/>
      <c r="BD23" s="442"/>
    </row>
    <row r="24" spans="1:56" ht="15" customHeight="1">
      <c r="A24" s="453"/>
      <c r="B24" s="427"/>
      <c r="C24" s="456"/>
      <c r="D24" s="5">
        <f t="shared" si="3"/>
        <v>7</v>
      </c>
      <c r="E24" s="5">
        <v>1</v>
      </c>
      <c r="F24" s="10" t="s">
        <v>36</v>
      </c>
      <c r="G24" s="24">
        <v>10.5</v>
      </c>
      <c r="H24" s="24">
        <f t="shared" si="2"/>
        <v>0</v>
      </c>
      <c r="I24" s="5" t="s">
        <v>34</v>
      </c>
      <c r="J24" s="408"/>
      <c r="K24" s="104"/>
      <c r="L24" s="24">
        <v>1.5</v>
      </c>
      <c r="M24" s="202"/>
      <c r="N24" s="202"/>
      <c r="O24" s="24">
        <v>1.5</v>
      </c>
      <c r="P24" s="24">
        <v>1.5</v>
      </c>
      <c r="Q24" s="24"/>
      <c r="R24" s="90"/>
      <c r="S24" s="90"/>
      <c r="T24" s="24">
        <v>1.5</v>
      </c>
      <c r="U24" s="24">
        <v>1.5</v>
      </c>
      <c r="V24" s="24">
        <v>1.5</v>
      </c>
      <c r="W24" s="202"/>
      <c r="X24" s="202"/>
      <c r="Y24" s="24"/>
      <c r="Z24" s="24">
        <v>1.5</v>
      </c>
      <c r="AA24" s="90"/>
      <c r="AB24" s="90"/>
      <c r="AC24" s="24"/>
      <c r="AD24" s="24"/>
      <c r="AE24" s="202"/>
      <c r="AF24" s="202"/>
      <c r="AG24" s="24"/>
      <c r="AH24" s="24"/>
      <c r="AI24" s="90"/>
      <c r="AJ24" s="90"/>
      <c r="AK24" s="24"/>
      <c r="AL24" s="24"/>
      <c r="AM24" s="202"/>
      <c r="AN24" s="202"/>
      <c r="AO24" s="24"/>
      <c r="AP24" s="24"/>
      <c r="AQ24" s="90"/>
      <c r="AR24" s="90"/>
      <c r="AS24" s="24"/>
      <c r="AT24" s="24"/>
      <c r="AU24" s="202"/>
      <c r="AV24" s="24"/>
      <c r="AW24" s="24"/>
      <c r="AX24" s="24"/>
      <c r="AY24" s="24"/>
      <c r="AZ24" s="24"/>
      <c r="BA24" s="24"/>
      <c r="BB24" s="202"/>
      <c r="BC24" s="438"/>
      <c r="BD24" s="442"/>
    </row>
    <row r="25" spans="1:56" ht="15" customHeight="1">
      <c r="A25" s="453"/>
      <c r="B25" s="427"/>
      <c r="C25" s="456"/>
      <c r="D25" s="5">
        <f t="shared" si="3"/>
        <v>3</v>
      </c>
      <c r="E25" s="5">
        <v>1</v>
      </c>
      <c r="F25" s="10" t="s">
        <v>39</v>
      </c>
      <c r="G25" s="24">
        <v>6</v>
      </c>
      <c r="H25" s="24">
        <f t="shared" si="2"/>
        <v>0</v>
      </c>
      <c r="I25" s="5">
        <v>129</v>
      </c>
      <c r="J25" s="408"/>
      <c r="K25" s="104"/>
      <c r="L25" s="24"/>
      <c r="M25" s="202"/>
      <c r="N25" s="202"/>
      <c r="O25" s="24"/>
      <c r="P25" s="24"/>
      <c r="Q25" s="24">
        <v>2</v>
      </c>
      <c r="R25" s="90"/>
      <c r="S25" s="90"/>
      <c r="T25" s="24"/>
      <c r="U25" s="24"/>
      <c r="V25" s="24"/>
      <c r="W25" s="202"/>
      <c r="X25" s="202"/>
      <c r="Y25" s="24"/>
      <c r="Z25" s="24"/>
      <c r="AA25" s="90"/>
      <c r="AB25" s="90"/>
      <c r="AC25" s="24">
        <v>2</v>
      </c>
      <c r="AD25" s="24">
        <v>2</v>
      </c>
      <c r="AE25" s="202"/>
      <c r="AF25" s="202"/>
      <c r="AG25" s="24"/>
      <c r="AH25" s="24"/>
      <c r="AI25" s="90"/>
      <c r="AJ25" s="90"/>
      <c r="AK25" s="24"/>
      <c r="AL25" s="24"/>
      <c r="AM25" s="202"/>
      <c r="AN25" s="202"/>
      <c r="AO25" s="24"/>
      <c r="AP25" s="24"/>
      <c r="AQ25" s="90"/>
      <c r="AR25" s="90"/>
      <c r="AS25" s="24"/>
      <c r="AT25" s="24"/>
      <c r="AU25" s="202"/>
      <c r="AV25" s="24"/>
      <c r="AW25" s="24"/>
      <c r="AX25" s="24"/>
      <c r="AY25" s="24"/>
      <c r="AZ25" s="24"/>
      <c r="BA25" s="24"/>
      <c r="BB25" s="202"/>
      <c r="BC25" s="438"/>
      <c r="BD25" s="442"/>
    </row>
    <row r="26" spans="1:56" ht="15" customHeight="1">
      <c r="A26" s="453"/>
      <c r="B26" s="427"/>
      <c r="C26" s="456" t="s">
        <v>45</v>
      </c>
      <c r="D26" s="5">
        <f t="shared" si="3"/>
        <v>5</v>
      </c>
      <c r="E26" s="5">
        <v>0</v>
      </c>
      <c r="F26" s="10" t="s">
        <v>33</v>
      </c>
      <c r="G26" s="24">
        <v>7.5</v>
      </c>
      <c r="H26" s="24">
        <f t="shared" si="2"/>
        <v>0</v>
      </c>
      <c r="I26" s="5" t="s">
        <v>34</v>
      </c>
      <c r="J26" s="408" t="s">
        <v>35</v>
      </c>
      <c r="K26" s="104">
        <v>1.5</v>
      </c>
      <c r="L26" s="24">
        <v>1.5</v>
      </c>
      <c r="M26" s="202">
        <v>1.5</v>
      </c>
      <c r="N26" s="202">
        <v>1.5</v>
      </c>
      <c r="O26" s="24">
        <v>1.5</v>
      </c>
      <c r="P26" s="24"/>
      <c r="Q26" s="24"/>
      <c r="R26" s="90"/>
      <c r="S26" s="90"/>
      <c r="T26" s="24"/>
      <c r="U26" s="24"/>
      <c r="V26" s="24"/>
      <c r="W26" s="202"/>
      <c r="X26" s="202"/>
      <c r="Y26" s="24"/>
      <c r="Z26" s="24"/>
      <c r="AA26" s="90"/>
      <c r="AB26" s="90"/>
      <c r="AC26" s="24"/>
      <c r="AD26" s="24"/>
      <c r="AE26" s="202"/>
      <c r="AF26" s="202"/>
      <c r="AG26" s="24"/>
      <c r="AH26" s="24"/>
      <c r="AI26" s="90"/>
      <c r="AJ26" s="90"/>
      <c r="AK26" s="24"/>
      <c r="AL26" s="24"/>
      <c r="AM26" s="202"/>
      <c r="AN26" s="202"/>
      <c r="AO26" s="24"/>
      <c r="AP26" s="24"/>
      <c r="AQ26" s="90"/>
      <c r="AR26" s="90"/>
      <c r="AS26" s="24"/>
      <c r="AT26" s="24"/>
      <c r="AU26" s="202"/>
      <c r="AV26" s="24"/>
      <c r="AW26" s="24"/>
      <c r="AX26" s="24"/>
      <c r="AY26" s="24"/>
      <c r="AZ26" s="24"/>
      <c r="BA26" s="24"/>
      <c r="BB26" s="202"/>
      <c r="BC26" s="438"/>
      <c r="BD26" s="442"/>
    </row>
    <row r="27" spans="1:56" ht="15" customHeight="1">
      <c r="A27" s="453"/>
      <c r="B27" s="427"/>
      <c r="C27" s="456"/>
      <c r="D27" s="5">
        <f t="shared" si="3"/>
        <v>5</v>
      </c>
      <c r="E27" s="5">
        <v>0</v>
      </c>
      <c r="F27" s="10" t="s">
        <v>36</v>
      </c>
      <c r="G27" s="24">
        <v>7.5</v>
      </c>
      <c r="H27" s="24">
        <f t="shared" si="2"/>
        <v>0</v>
      </c>
      <c r="I27" s="5" t="s">
        <v>34</v>
      </c>
      <c r="J27" s="408"/>
      <c r="K27" s="104">
        <v>1.5</v>
      </c>
      <c r="L27" s="24">
        <v>1.5</v>
      </c>
      <c r="M27" s="202">
        <v>1.5</v>
      </c>
      <c r="N27" s="202">
        <v>1.5</v>
      </c>
      <c r="O27" s="24">
        <v>1.5</v>
      </c>
      <c r="P27" s="24"/>
      <c r="Q27" s="24"/>
      <c r="R27" s="90"/>
      <c r="S27" s="90"/>
      <c r="T27" s="24"/>
      <c r="U27" s="24"/>
      <c r="V27" s="24"/>
      <c r="W27" s="202"/>
      <c r="X27" s="202"/>
      <c r="Y27" s="24"/>
      <c r="Z27" s="24"/>
      <c r="AA27" s="90"/>
      <c r="AB27" s="90"/>
      <c r="AC27" s="24"/>
      <c r="AD27" s="24"/>
      <c r="AE27" s="202"/>
      <c r="AF27" s="202"/>
      <c r="AG27" s="24"/>
      <c r="AH27" s="24"/>
      <c r="AI27" s="90"/>
      <c r="AJ27" s="90"/>
      <c r="AK27" s="24"/>
      <c r="AL27" s="24"/>
      <c r="AM27" s="202"/>
      <c r="AN27" s="202"/>
      <c r="AO27" s="24"/>
      <c r="AP27" s="24"/>
      <c r="AQ27" s="90"/>
      <c r="AR27" s="90"/>
      <c r="AS27" s="24"/>
      <c r="AT27" s="24"/>
      <c r="AU27" s="202"/>
      <c r="AV27" s="24"/>
      <c r="AW27" s="24"/>
      <c r="AX27" s="24"/>
      <c r="AY27" s="24"/>
      <c r="AZ27" s="24"/>
      <c r="BA27" s="24"/>
      <c r="BB27" s="202"/>
      <c r="BC27" s="438"/>
      <c r="BD27" s="442"/>
    </row>
    <row r="28" spans="1:56" ht="15" customHeight="1">
      <c r="A28" s="453"/>
      <c r="B28" s="427"/>
      <c r="C28" s="456"/>
      <c r="D28" s="5">
        <f t="shared" si="3"/>
        <v>4</v>
      </c>
      <c r="E28" s="5">
        <v>0</v>
      </c>
      <c r="F28" s="10" t="s">
        <v>39</v>
      </c>
      <c r="G28" s="24">
        <v>12</v>
      </c>
      <c r="H28" s="24">
        <f t="shared" si="2"/>
        <v>0</v>
      </c>
      <c r="I28" s="5">
        <v>129</v>
      </c>
      <c r="J28" s="408"/>
      <c r="K28" s="104"/>
      <c r="L28" s="24"/>
      <c r="M28" s="202"/>
      <c r="N28" s="202"/>
      <c r="O28" s="28"/>
      <c r="P28" s="24">
        <v>3</v>
      </c>
      <c r="Q28" s="24">
        <v>3</v>
      </c>
      <c r="R28" s="90"/>
      <c r="S28" s="90"/>
      <c r="T28" s="24">
        <v>3</v>
      </c>
      <c r="U28" s="24">
        <v>3</v>
      </c>
      <c r="V28" s="24"/>
      <c r="W28" s="202"/>
      <c r="X28" s="202"/>
      <c r="Y28" s="24"/>
      <c r="Z28" s="24"/>
      <c r="AA28" s="90"/>
      <c r="AB28" s="90"/>
      <c r="AC28" s="24"/>
      <c r="AD28" s="24"/>
      <c r="AE28" s="202"/>
      <c r="AF28" s="202"/>
      <c r="AG28" s="24"/>
      <c r="AH28" s="24"/>
      <c r="AI28" s="90"/>
      <c r="AJ28" s="90"/>
      <c r="AK28" s="24"/>
      <c r="AL28" s="24"/>
      <c r="AM28" s="202"/>
      <c r="AN28" s="202"/>
      <c r="AO28" s="24"/>
      <c r="AP28" s="24"/>
      <c r="AQ28" s="90"/>
      <c r="AR28" s="90"/>
      <c r="AS28" s="24"/>
      <c r="AT28" s="24"/>
      <c r="AU28" s="202"/>
      <c r="AV28" s="24"/>
      <c r="AW28" s="24"/>
      <c r="AX28" s="24"/>
      <c r="AY28" s="24"/>
      <c r="AZ28" s="24"/>
      <c r="BA28" s="24"/>
      <c r="BB28" s="202"/>
      <c r="BC28" s="438"/>
      <c r="BD28" s="442"/>
    </row>
    <row r="29" spans="1:56" ht="15" customHeight="1">
      <c r="A29" s="453"/>
      <c r="B29" s="427"/>
      <c r="C29" s="456"/>
      <c r="D29" s="5">
        <f t="shared" si="3"/>
        <v>5</v>
      </c>
      <c r="E29" s="5">
        <v>1</v>
      </c>
      <c r="F29" s="10" t="s">
        <v>33</v>
      </c>
      <c r="G29" s="24">
        <v>7.5</v>
      </c>
      <c r="H29" s="24">
        <f t="shared" si="2"/>
        <v>0</v>
      </c>
      <c r="I29" s="5" t="s">
        <v>34</v>
      </c>
      <c r="J29" s="408" t="s">
        <v>37</v>
      </c>
      <c r="K29" s="104">
        <v>1.5</v>
      </c>
      <c r="L29" s="24">
        <v>1.5</v>
      </c>
      <c r="M29" s="202"/>
      <c r="N29" s="202"/>
      <c r="O29" s="24">
        <v>1.5</v>
      </c>
      <c r="P29" s="24">
        <v>1.5</v>
      </c>
      <c r="Q29" s="24">
        <v>1.5</v>
      </c>
      <c r="R29" s="90"/>
      <c r="S29" s="90"/>
      <c r="T29" s="24"/>
      <c r="U29" s="24"/>
      <c r="V29" s="24"/>
      <c r="W29" s="202"/>
      <c r="X29" s="202"/>
      <c r="Y29" s="24"/>
      <c r="Z29" s="24"/>
      <c r="AA29" s="90"/>
      <c r="AB29" s="90"/>
      <c r="AC29" s="24"/>
      <c r="AD29" s="24"/>
      <c r="AE29" s="202"/>
      <c r="AF29" s="202"/>
      <c r="AG29" s="24"/>
      <c r="AH29" s="24"/>
      <c r="AI29" s="90"/>
      <c r="AJ29" s="90"/>
      <c r="AK29" s="24"/>
      <c r="AL29" s="24"/>
      <c r="AM29" s="202"/>
      <c r="AN29" s="202"/>
      <c r="AO29" s="24"/>
      <c r="AP29" s="24"/>
      <c r="AQ29" s="90"/>
      <c r="AR29" s="90"/>
      <c r="AS29" s="24"/>
      <c r="AT29" s="24"/>
      <c r="AU29" s="202"/>
      <c r="AV29" s="24"/>
      <c r="AW29" s="24"/>
      <c r="AX29" s="24"/>
      <c r="AY29" s="24"/>
      <c r="AZ29" s="24"/>
      <c r="BA29" s="24"/>
      <c r="BB29" s="202"/>
      <c r="BC29" s="438"/>
      <c r="BD29" s="442"/>
    </row>
    <row r="30" spans="1:56" ht="15" customHeight="1">
      <c r="A30" s="453"/>
      <c r="B30" s="427"/>
      <c r="C30" s="456"/>
      <c r="D30" s="5">
        <f t="shared" si="3"/>
        <v>5</v>
      </c>
      <c r="E30" s="5">
        <v>1</v>
      </c>
      <c r="F30" s="10" t="s">
        <v>36</v>
      </c>
      <c r="G30" s="24">
        <v>7.5</v>
      </c>
      <c r="H30" s="24">
        <f t="shared" si="2"/>
        <v>0</v>
      </c>
      <c r="I30" s="5" t="s">
        <v>34</v>
      </c>
      <c r="J30" s="408"/>
      <c r="K30" s="104">
        <v>1.5</v>
      </c>
      <c r="L30" s="24">
        <v>1.5</v>
      </c>
      <c r="M30" s="202"/>
      <c r="N30" s="202"/>
      <c r="O30" s="24">
        <v>1.5</v>
      </c>
      <c r="P30" s="24">
        <v>1.5</v>
      </c>
      <c r="Q30" s="24"/>
      <c r="R30" s="90"/>
      <c r="S30" s="90"/>
      <c r="T30" s="24">
        <v>1.5</v>
      </c>
      <c r="U30" s="24"/>
      <c r="V30" s="24"/>
      <c r="W30" s="202"/>
      <c r="X30" s="202"/>
      <c r="Y30" s="24"/>
      <c r="Z30" s="24"/>
      <c r="AA30" s="90"/>
      <c r="AB30" s="90"/>
      <c r="AC30" s="24"/>
      <c r="AD30" s="24"/>
      <c r="AE30" s="202"/>
      <c r="AF30" s="202"/>
      <c r="AG30" s="24"/>
      <c r="AH30" s="24"/>
      <c r="AI30" s="90"/>
      <c r="AJ30" s="90"/>
      <c r="AK30" s="24"/>
      <c r="AL30" s="24"/>
      <c r="AM30" s="202"/>
      <c r="AN30" s="202"/>
      <c r="AO30" s="24"/>
      <c r="AP30" s="24"/>
      <c r="AQ30" s="90"/>
      <c r="AR30" s="90"/>
      <c r="AS30" s="24"/>
      <c r="AT30" s="24"/>
      <c r="AU30" s="202"/>
      <c r="AV30" s="24"/>
      <c r="AW30" s="24"/>
      <c r="AX30" s="24"/>
      <c r="AY30" s="24"/>
      <c r="AZ30" s="24"/>
      <c r="BA30" s="24"/>
      <c r="BB30" s="202"/>
      <c r="BC30" s="438"/>
      <c r="BD30" s="442"/>
    </row>
    <row r="31" spans="1:56" ht="15" customHeight="1" thickBot="1">
      <c r="A31" s="454"/>
      <c r="B31" s="428"/>
      <c r="C31" s="457"/>
      <c r="D31" s="18">
        <f t="shared" si="3"/>
        <v>4</v>
      </c>
      <c r="E31" s="18">
        <v>1</v>
      </c>
      <c r="F31" s="16" t="s">
        <v>39</v>
      </c>
      <c r="G31" s="26">
        <v>12</v>
      </c>
      <c r="H31" s="26">
        <f t="shared" si="2"/>
        <v>0</v>
      </c>
      <c r="I31" s="18">
        <v>129</v>
      </c>
      <c r="J31" s="412"/>
      <c r="K31" s="106"/>
      <c r="L31" s="26"/>
      <c r="M31" s="201"/>
      <c r="N31" s="201"/>
      <c r="O31" s="26"/>
      <c r="P31" s="26"/>
      <c r="Q31" s="26"/>
      <c r="R31" s="91"/>
      <c r="S31" s="91"/>
      <c r="T31" s="26"/>
      <c r="U31" s="26">
        <v>3</v>
      </c>
      <c r="V31" s="26">
        <v>3</v>
      </c>
      <c r="W31" s="201"/>
      <c r="X31" s="201"/>
      <c r="Y31" s="26">
        <v>3</v>
      </c>
      <c r="Z31" s="26">
        <v>3</v>
      </c>
      <c r="AA31" s="91"/>
      <c r="AB31" s="91"/>
      <c r="AC31" s="26"/>
      <c r="AD31" s="26"/>
      <c r="AE31" s="201"/>
      <c r="AF31" s="201"/>
      <c r="AG31" s="26"/>
      <c r="AH31" s="26"/>
      <c r="AI31" s="91"/>
      <c r="AJ31" s="91"/>
      <c r="AK31" s="26"/>
      <c r="AL31" s="26"/>
      <c r="AM31" s="201"/>
      <c r="AN31" s="201"/>
      <c r="AO31" s="26"/>
      <c r="AP31" s="26"/>
      <c r="AQ31" s="91"/>
      <c r="AR31" s="91"/>
      <c r="AS31" s="26"/>
      <c r="AT31" s="26"/>
      <c r="AU31" s="201"/>
      <c r="AV31" s="26"/>
      <c r="AW31" s="26"/>
      <c r="AX31" s="26"/>
      <c r="AY31" s="26"/>
      <c r="AZ31" s="26"/>
      <c r="BA31" s="26"/>
      <c r="BB31" s="201"/>
      <c r="BC31" s="405"/>
      <c r="BD31" s="406"/>
    </row>
    <row r="32" spans="1:56" ht="15" customHeight="1" thickTop="1">
      <c r="A32" s="452" t="s">
        <v>46</v>
      </c>
      <c r="B32" s="426" t="s">
        <v>47</v>
      </c>
      <c r="C32" s="455" t="s">
        <v>48</v>
      </c>
      <c r="D32" s="17">
        <f t="shared" si="3"/>
        <v>8</v>
      </c>
      <c r="E32" s="17">
        <v>0</v>
      </c>
      <c r="F32" s="15" t="s">
        <v>33</v>
      </c>
      <c r="G32" s="23">
        <v>12</v>
      </c>
      <c r="H32" s="23">
        <f t="shared" si="2"/>
        <v>0</v>
      </c>
      <c r="I32" s="17" t="s">
        <v>34</v>
      </c>
      <c r="J32" s="407" t="s">
        <v>35</v>
      </c>
      <c r="K32" s="103"/>
      <c r="L32" s="23"/>
      <c r="M32" s="200"/>
      <c r="N32" s="200"/>
      <c r="O32" s="23"/>
      <c r="P32" s="23">
        <v>1.5</v>
      </c>
      <c r="Q32" s="23">
        <v>1.5</v>
      </c>
      <c r="R32" s="89"/>
      <c r="S32" s="89"/>
      <c r="T32" s="23">
        <v>1.5</v>
      </c>
      <c r="U32" s="23">
        <v>1.5</v>
      </c>
      <c r="V32" s="23">
        <v>1.5</v>
      </c>
      <c r="W32" s="200">
        <v>1.5</v>
      </c>
      <c r="X32" s="200">
        <v>1.5</v>
      </c>
      <c r="Y32" s="23"/>
      <c r="Z32" s="23"/>
      <c r="AA32" s="89"/>
      <c r="AB32" s="89"/>
      <c r="AC32" s="23">
        <v>1.5</v>
      </c>
      <c r="AD32" s="23"/>
      <c r="AE32" s="200"/>
      <c r="AF32" s="200"/>
      <c r="AG32" s="23"/>
      <c r="AH32" s="23"/>
      <c r="AI32" s="89"/>
      <c r="AJ32" s="89"/>
      <c r="AK32" s="23"/>
      <c r="AL32" s="23"/>
      <c r="AM32" s="200"/>
      <c r="AN32" s="200"/>
      <c r="AO32" s="23"/>
      <c r="AP32" s="23"/>
      <c r="AQ32" s="89"/>
      <c r="AR32" s="89"/>
      <c r="AS32" s="23"/>
      <c r="AT32" s="23"/>
      <c r="AU32" s="200"/>
      <c r="AV32" s="23"/>
      <c r="AW32" s="23"/>
      <c r="AX32" s="23"/>
      <c r="AY32" s="23"/>
      <c r="AZ32" s="23"/>
      <c r="BA32" s="23"/>
      <c r="BB32" s="200"/>
      <c r="BC32" s="403" t="s">
        <v>458</v>
      </c>
      <c r="BD32" s="404"/>
    </row>
    <row r="33" spans="1:56" ht="15" customHeight="1">
      <c r="A33" s="453"/>
      <c r="B33" s="427"/>
      <c r="C33" s="456"/>
      <c r="D33" s="5">
        <f t="shared" si="3"/>
        <v>7</v>
      </c>
      <c r="E33" s="5">
        <v>0</v>
      </c>
      <c r="F33" s="10" t="s">
        <v>36</v>
      </c>
      <c r="G33" s="24">
        <v>10.5</v>
      </c>
      <c r="H33" s="24">
        <f t="shared" si="2"/>
        <v>0</v>
      </c>
      <c r="I33" s="5" t="s">
        <v>34</v>
      </c>
      <c r="J33" s="408"/>
      <c r="K33" s="104"/>
      <c r="L33" s="24"/>
      <c r="M33" s="202"/>
      <c r="N33" s="202"/>
      <c r="O33" s="24"/>
      <c r="P33" s="24">
        <v>1.5</v>
      </c>
      <c r="Q33" s="24">
        <v>1.5</v>
      </c>
      <c r="R33" s="90"/>
      <c r="S33" s="90"/>
      <c r="T33" s="24">
        <v>1.5</v>
      </c>
      <c r="U33" s="24">
        <v>1.5</v>
      </c>
      <c r="V33" s="24">
        <v>1.5</v>
      </c>
      <c r="W33" s="202">
        <v>1.5</v>
      </c>
      <c r="X33" s="202">
        <v>1.5</v>
      </c>
      <c r="Y33" s="24"/>
      <c r="Z33" s="24"/>
      <c r="AA33" s="90"/>
      <c r="AB33" s="90"/>
      <c r="AC33" s="24"/>
      <c r="AD33" s="24"/>
      <c r="AE33" s="202"/>
      <c r="AF33" s="202"/>
      <c r="AG33" s="24"/>
      <c r="AH33" s="24"/>
      <c r="AI33" s="90"/>
      <c r="AJ33" s="90"/>
      <c r="AK33" s="24"/>
      <c r="AL33" s="24"/>
      <c r="AM33" s="202"/>
      <c r="AN33" s="202"/>
      <c r="AO33" s="24"/>
      <c r="AP33" s="24"/>
      <c r="AQ33" s="90"/>
      <c r="AR33" s="90"/>
      <c r="AS33" s="24"/>
      <c r="AT33" s="24"/>
      <c r="AU33" s="202"/>
      <c r="AV33" s="24"/>
      <c r="AW33" s="24"/>
      <c r="AX33" s="24"/>
      <c r="AY33" s="24"/>
      <c r="AZ33" s="24"/>
      <c r="BA33" s="24"/>
      <c r="BB33" s="202"/>
      <c r="BC33" s="438"/>
      <c r="BD33" s="442"/>
    </row>
    <row r="34" spans="1:56" ht="15" customHeight="1">
      <c r="A34" s="453"/>
      <c r="B34" s="427"/>
      <c r="C34" s="456"/>
      <c r="D34" s="5">
        <f t="shared" si="3"/>
        <v>3</v>
      </c>
      <c r="E34" s="5">
        <v>0</v>
      </c>
      <c r="F34" s="10" t="s">
        <v>39</v>
      </c>
      <c r="G34" s="24">
        <v>9</v>
      </c>
      <c r="H34" s="24">
        <f t="shared" si="2"/>
        <v>0</v>
      </c>
      <c r="I34" s="5">
        <v>228</v>
      </c>
      <c r="J34" s="408"/>
      <c r="K34" s="104"/>
      <c r="L34" s="24"/>
      <c r="M34" s="202"/>
      <c r="N34" s="202"/>
      <c r="O34" s="24"/>
      <c r="P34" s="24"/>
      <c r="Q34" s="24"/>
      <c r="R34" s="90"/>
      <c r="S34" s="90"/>
      <c r="T34" s="24"/>
      <c r="U34" s="24"/>
      <c r="V34" s="24"/>
      <c r="W34" s="202"/>
      <c r="X34" s="202"/>
      <c r="Y34" s="24">
        <v>3</v>
      </c>
      <c r="Z34" s="24">
        <v>3</v>
      </c>
      <c r="AA34" s="90"/>
      <c r="AB34" s="90"/>
      <c r="AC34" s="24">
        <v>3</v>
      </c>
      <c r="AD34" s="24"/>
      <c r="AE34" s="202"/>
      <c r="AF34" s="202"/>
      <c r="AG34" s="24"/>
      <c r="AH34" s="24"/>
      <c r="AI34" s="90"/>
      <c r="AJ34" s="90"/>
      <c r="AK34" s="24"/>
      <c r="AL34" s="24"/>
      <c r="AM34" s="202"/>
      <c r="AN34" s="202"/>
      <c r="AO34" s="24"/>
      <c r="AP34" s="24"/>
      <c r="AQ34" s="90"/>
      <c r="AR34" s="90"/>
      <c r="AS34" s="24"/>
      <c r="AT34" s="24"/>
      <c r="AU34" s="202"/>
      <c r="AV34" s="24"/>
      <c r="AW34" s="24"/>
      <c r="AX34" s="24"/>
      <c r="AY34" s="24"/>
      <c r="AZ34" s="24"/>
      <c r="BA34" s="24"/>
      <c r="BB34" s="202"/>
      <c r="BC34" s="438"/>
      <c r="BD34" s="442"/>
    </row>
    <row r="35" spans="1:56" ht="15" customHeight="1">
      <c r="A35" s="453"/>
      <c r="B35" s="427"/>
      <c r="C35" s="456"/>
      <c r="D35" s="5">
        <f t="shared" si="3"/>
        <v>8</v>
      </c>
      <c r="E35" s="5">
        <v>1</v>
      </c>
      <c r="F35" s="10" t="s">
        <v>33</v>
      </c>
      <c r="G35" s="24">
        <v>12</v>
      </c>
      <c r="H35" s="24">
        <f t="shared" si="2"/>
        <v>0</v>
      </c>
      <c r="I35" s="5" t="s">
        <v>34</v>
      </c>
      <c r="J35" s="408" t="s">
        <v>37</v>
      </c>
      <c r="K35" s="104">
        <v>1.5</v>
      </c>
      <c r="L35" s="24">
        <v>1.5</v>
      </c>
      <c r="M35" s="202"/>
      <c r="N35" s="202"/>
      <c r="O35" s="24">
        <v>1.5</v>
      </c>
      <c r="P35" s="24">
        <v>1.5</v>
      </c>
      <c r="Q35" s="24">
        <v>1.5</v>
      </c>
      <c r="R35" s="90"/>
      <c r="S35" s="90"/>
      <c r="T35" s="24">
        <v>1.5</v>
      </c>
      <c r="U35" s="24">
        <v>1.5</v>
      </c>
      <c r="V35" s="24">
        <v>1.5</v>
      </c>
      <c r="W35" s="202"/>
      <c r="X35" s="202"/>
      <c r="Y35" s="24"/>
      <c r="Z35" s="24"/>
      <c r="AA35" s="90"/>
      <c r="AB35" s="90"/>
      <c r="AC35" s="24"/>
      <c r="AD35" s="24"/>
      <c r="AE35" s="202"/>
      <c r="AF35" s="202"/>
      <c r="AG35" s="24"/>
      <c r="AH35" s="24"/>
      <c r="AI35" s="90"/>
      <c r="AJ35" s="90"/>
      <c r="AK35" s="24"/>
      <c r="AL35" s="24"/>
      <c r="AM35" s="202"/>
      <c r="AN35" s="202"/>
      <c r="AO35" s="24"/>
      <c r="AP35" s="24"/>
      <c r="AQ35" s="90"/>
      <c r="AR35" s="90"/>
      <c r="AS35" s="24"/>
      <c r="AT35" s="24"/>
      <c r="AU35" s="202"/>
      <c r="AV35" s="24"/>
      <c r="AW35" s="24"/>
      <c r="AX35" s="24"/>
      <c r="AY35" s="24"/>
      <c r="AZ35" s="24"/>
      <c r="BA35" s="24"/>
      <c r="BB35" s="202"/>
      <c r="BC35" s="438"/>
      <c r="BD35" s="442"/>
    </row>
    <row r="36" spans="1:56" ht="15" customHeight="1">
      <c r="A36" s="453"/>
      <c r="B36" s="427"/>
      <c r="C36" s="456"/>
      <c r="D36" s="5">
        <f t="shared" si="3"/>
        <v>7</v>
      </c>
      <c r="E36" s="5">
        <v>1</v>
      </c>
      <c r="F36" s="10" t="s">
        <v>36</v>
      </c>
      <c r="G36" s="24">
        <v>10.5</v>
      </c>
      <c r="H36" s="24">
        <f t="shared" si="2"/>
        <v>0</v>
      </c>
      <c r="I36" s="5" t="s">
        <v>34</v>
      </c>
      <c r="J36" s="408"/>
      <c r="K36" s="104"/>
      <c r="L36" s="24">
        <v>1.5</v>
      </c>
      <c r="M36" s="202"/>
      <c r="N36" s="202"/>
      <c r="O36" s="24">
        <v>1.5</v>
      </c>
      <c r="P36" s="24">
        <v>1.5</v>
      </c>
      <c r="Q36" s="24">
        <v>1.5</v>
      </c>
      <c r="R36" s="90"/>
      <c r="S36" s="90"/>
      <c r="T36" s="24">
        <v>1.5</v>
      </c>
      <c r="U36" s="24">
        <v>1.5</v>
      </c>
      <c r="V36" s="24">
        <v>1.5</v>
      </c>
      <c r="W36" s="202"/>
      <c r="X36" s="202"/>
      <c r="Y36" s="24"/>
      <c r="Z36" s="24"/>
      <c r="AA36" s="90"/>
      <c r="AB36" s="90"/>
      <c r="AC36" s="24"/>
      <c r="AD36" s="24"/>
      <c r="AE36" s="202"/>
      <c r="AF36" s="202"/>
      <c r="AG36" s="24"/>
      <c r="AH36" s="24"/>
      <c r="AI36" s="90"/>
      <c r="AJ36" s="90"/>
      <c r="AK36" s="24"/>
      <c r="AL36" s="24"/>
      <c r="AM36" s="202"/>
      <c r="AN36" s="202"/>
      <c r="AO36" s="24"/>
      <c r="AP36" s="24"/>
      <c r="AQ36" s="90"/>
      <c r="AR36" s="90"/>
      <c r="AS36" s="24"/>
      <c r="AT36" s="24"/>
      <c r="AU36" s="202"/>
      <c r="AV36" s="24"/>
      <c r="AW36" s="24"/>
      <c r="AX36" s="24"/>
      <c r="AY36" s="24"/>
      <c r="AZ36" s="24"/>
      <c r="BA36" s="24"/>
      <c r="BB36" s="202"/>
      <c r="BC36" s="438"/>
      <c r="BD36" s="442"/>
    </row>
    <row r="37" spans="1:56" ht="15" customHeight="1">
      <c r="A37" s="453"/>
      <c r="B37" s="427"/>
      <c r="C37" s="456"/>
      <c r="D37" s="5">
        <f t="shared" si="3"/>
        <v>3</v>
      </c>
      <c r="E37" s="5">
        <v>1</v>
      </c>
      <c r="F37" s="10" t="s">
        <v>39</v>
      </c>
      <c r="G37" s="24">
        <v>9</v>
      </c>
      <c r="H37" s="24">
        <f t="shared" si="2"/>
        <v>0</v>
      </c>
      <c r="I37" s="5">
        <v>228</v>
      </c>
      <c r="J37" s="408"/>
      <c r="K37" s="104"/>
      <c r="L37" s="24"/>
      <c r="M37" s="202"/>
      <c r="N37" s="202"/>
      <c r="O37" s="24"/>
      <c r="P37" s="24"/>
      <c r="Q37" s="24"/>
      <c r="R37" s="90"/>
      <c r="S37" s="90"/>
      <c r="T37" s="24"/>
      <c r="U37" s="24"/>
      <c r="V37" s="24"/>
      <c r="W37" s="202"/>
      <c r="X37" s="202"/>
      <c r="Y37" s="24">
        <v>3</v>
      </c>
      <c r="Z37" s="24">
        <v>3</v>
      </c>
      <c r="AA37" s="90"/>
      <c r="AB37" s="90"/>
      <c r="AC37" s="24">
        <v>3</v>
      </c>
      <c r="AD37" s="24"/>
      <c r="AE37" s="202"/>
      <c r="AF37" s="202"/>
      <c r="AG37" s="24"/>
      <c r="AH37" s="24"/>
      <c r="AI37" s="90"/>
      <c r="AJ37" s="90"/>
      <c r="AK37" s="24"/>
      <c r="AL37" s="24"/>
      <c r="AM37" s="202"/>
      <c r="AN37" s="202"/>
      <c r="AO37" s="24"/>
      <c r="AP37" s="24"/>
      <c r="AQ37" s="90"/>
      <c r="AR37" s="90"/>
      <c r="AS37" s="24"/>
      <c r="AT37" s="24"/>
      <c r="AU37" s="202"/>
      <c r="AV37" s="24"/>
      <c r="AW37" s="24"/>
      <c r="AX37" s="24"/>
      <c r="AY37" s="24"/>
      <c r="AZ37" s="24"/>
      <c r="BA37" s="24"/>
      <c r="BB37" s="202"/>
      <c r="BC37" s="438"/>
      <c r="BD37" s="442"/>
    </row>
    <row r="38" spans="1:56" ht="15" customHeight="1">
      <c r="A38" s="453"/>
      <c r="B38" s="427"/>
      <c r="C38" s="456" t="s">
        <v>38</v>
      </c>
      <c r="D38" s="5">
        <f t="shared" si="3"/>
        <v>7</v>
      </c>
      <c r="E38" s="5">
        <v>0</v>
      </c>
      <c r="F38" s="10" t="s">
        <v>33</v>
      </c>
      <c r="G38" s="24">
        <v>10.5</v>
      </c>
      <c r="H38" s="24">
        <f t="shared" si="2"/>
        <v>0</v>
      </c>
      <c r="I38" s="5" t="s">
        <v>34</v>
      </c>
      <c r="J38" s="408" t="s">
        <v>35</v>
      </c>
      <c r="K38" s="104">
        <v>1.5</v>
      </c>
      <c r="L38" s="24">
        <v>1.5</v>
      </c>
      <c r="M38" s="202">
        <v>1.5</v>
      </c>
      <c r="N38" s="202">
        <v>1.5</v>
      </c>
      <c r="O38" s="24">
        <v>1.5</v>
      </c>
      <c r="P38" s="24">
        <v>1.5</v>
      </c>
      <c r="Q38" s="24">
        <v>1.5</v>
      </c>
      <c r="R38" s="90"/>
      <c r="S38" s="90"/>
      <c r="T38" s="24"/>
      <c r="U38" s="24"/>
      <c r="V38" s="24"/>
      <c r="W38" s="202"/>
      <c r="X38" s="202"/>
      <c r="Y38" s="24"/>
      <c r="Z38" s="24"/>
      <c r="AA38" s="90"/>
      <c r="AB38" s="90"/>
      <c r="AC38" s="24"/>
      <c r="AD38" s="24"/>
      <c r="AE38" s="202"/>
      <c r="AF38" s="202"/>
      <c r="AG38" s="24"/>
      <c r="AH38" s="24"/>
      <c r="AI38" s="90"/>
      <c r="AJ38" s="90"/>
      <c r="AK38" s="24"/>
      <c r="AL38" s="24"/>
      <c r="AM38" s="202"/>
      <c r="AN38" s="202"/>
      <c r="AO38" s="24"/>
      <c r="AP38" s="24"/>
      <c r="AQ38" s="90"/>
      <c r="AR38" s="90"/>
      <c r="AS38" s="24"/>
      <c r="AT38" s="24"/>
      <c r="AU38" s="202"/>
      <c r="AV38" s="24"/>
      <c r="AW38" s="24"/>
      <c r="AX38" s="24"/>
      <c r="AY38" s="24"/>
      <c r="AZ38" s="24"/>
      <c r="BA38" s="24"/>
      <c r="BB38" s="202"/>
      <c r="BC38" s="438"/>
      <c r="BD38" s="442"/>
    </row>
    <row r="39" spans="1:56" ht="15" customHeight="1">
      <c r="A39" s="453"/>
      <c r="B39" s="427"/>
      <c r="C39" s="456"/>
      <c r="D39" s="5">
        <f t="shared" si="3"/>
        <v>7</v>
      </c>
      <c r="E39" s="5">
        <v>0</v>
      </c>
      <c r="F39" s="10" t="s">
        <v>36</v>
      </c>
      <c r="G39" s="24">
        <v>10.5</v>
      </c>
      <c r="H39" s="24">
        <f t="shared" si="2"/>
        <v>0</v>
      </c>
      <c r="I39" s="5" t="s">
        <v>34</v>
      </c>
      <c r="J39" s="408"/>
      <c r="K39" s="104">
        <v>1.5</v>
      </c>
      <c r="L39" s="24">
        <v>1.5</v>
      </c>
      <c r="M39" s="202">
        <v>1.5</v>
      </c>
      <c r="N39" s="202">
        <v>1.5</v>
      </c>
      <c r="O39" s="24">
        <v>1.5</v>
      </c>
      <c r="P39" s="24">
        <v>1.5</v>
      </c>
      <c r="Q39" s="24">
        <v>1.5</v>
      </c>
      <c r="R39" s="90"/>
      <c r="S39" s="90"/>
      <c r="T39" s="24"/>
      <c r="U39" s="24"/>
      <c r="V39" s="24"/>
      <c r="W39" s="202"/>
      <c r="X39" s="202"/>
      <c r="Y39" s="24"/>
      <c r="Z39" s="24"/>
      <c r="AA39" s="90"/>
      <c r="AB39" s="90"/>
      <c r="AC39" s="24"/>
      <c r="AD39" s="24"/>
      <c r="AE39" s="202"/>
      <c r="AF39" s="202"/>
      <c r="AG39" s="24"/>
      <c r="AH39" s="24"/>
      <c r="AI39" s="90"/>
      <c r="AJ39" s="90"/>
      <c r="AK39" s="24"/>
      <c r="AL39" s="24"/>
      <c r="AM39" s="202"/>
      <c r="AN39" s="202"/>
      <c r="AO39" s="24"/>
      <c r="AP39" s="24"/>
      <c r="AQ39" s="90"/>
      <c r="AR39" s="90"/>
      <c r="AS39" s="24"/>
      <c r="AT39" s="24"/>
      <c r="AU39" s="202"/>
      <c r="AV39" s="24"/>
      <c r="AW39" s="24"/>
      <c r="AX39" s="24"/>
      <c r="AY39" s="24"/>
      <c r="AZ39" s="24"/>
      <c r="BA39" s="24"/>
      <c r="BB39" s="202"/>
      <c r="BC39" s="438"/>
      <c r="BD39" s="442"/>
    </row>
    <row r="40" spans="1:56" ht="15" customHeight="1">
      <c r="A40" s="453"/>
      <c r="B40" s="427"/>
      <c r="C40" s="456"/>
      <c r="D40" s="5">
        <f t="shared" si="3"/>
        <v>5</v>
      </c>
      <c r="E40" s="5">
        <v>1</v>
      </c>
      <c r="F40" s="10" t="s">
        <v>33</v>
      </c>
      <c r="G40" s="24">
        <v>10.5</v>
      </c>
      <c r="H40" s="24">
        <f t="shared" si="2"/>
        <v>0</v>
      </c>
      <c r="I40" s="5" t="s">
        <v>34</v>
      </c>
      <c r="J40" s="408" t="s">
        <v>37</v>
      </c>
      <c r="K40" s="104">
        <v>3</v>
      </c>
      <c r="L40" s="24">
        <v>3</v>
      </c>
      <c r="M40" s="202"/>
      <c r="N40" s="202"/>
      <c r="O40" s="24">
        <v>1.5</v>
      </c>
      <c r="P40" s="24">
        <v>1.5</v>
      </c>
      <c r="Q40" s="24">
        <v>1.5</v>
      </c>
      <c r="R40" s="90"/>
      <c r="S40" s="90"/>
      <c r="T40" s="24"/>
      <c r="U40" s="24"/>
      <c r="V40" s="24"/>
      <c r="W40" s="202"/>
      <c r="X40" s="202"/>
      <c r="Y40" s="24"/>
      <c r="Z40" s="24"/>
      <c r="AA40" s="90"/>
      <c r="AB40" s="90"/>
      <c r="AC40" s="24"/>
      <c r="AD40" s="24"/>
      <c r="AE40" s="202"/>
      <c r="AF40" s="202"/>
      <c r="AG40" s="24"/>
      <c r="AH40" s="24"/>
      <c r="AI40" s="90"/>
      <c r="AJ40" s="90"/>
      <c r="AK40" s="24"/>
      <c r="AL40" s="24"/>
      <c r="AM40" s="202"/>
      <c r="AN40" s="202"/>
      <c r="AO40" s="24"/>
      <c r="AP40" s="24"/>
      <c r="AQ40" s="90"/>
      <c r="AR40" s="90"/>
      <c r="AS40" s="24"/>
      <c r="AT40" s="24"/>
      <c r="AU40" s="202"/>
      <c r="AV40" s="24"/>
      <c r="AW40" s="24"/>
      <c r="AX40" s="24"/>
      <c r="AY40" s="24"/>
      <c r="AZ40" s="24"/>
      <c r="BA40" s="24"/>
      <c r="BB40" s="202"/>
      <c r="BC40" s="438"/>
      <c r="BD40" s="442"/>
    </row>
    <row r="41" spans="1:56" ht="15" customHeight="1" thickBot="1">
      <c r="A41" s="454"/>
      <c r="B41" s="428"/>
      <c r="C41" s="457"/>
      <c r="D41" s="18">
        <f t="shared" si="3"/>
        <v>5</v>
      </c>
      <c r="E41" s="18">
        <v>1</v>
      </c>
      <c r="F41" s="16" t="s">
        <v>36</v>
      </c>
      <c r="G41" s="26">
        <v>10.5</v>
      </c>
      <c r="H41" s="26">
        <f t="shared" si="2"/>
        <v>0</v>
      </c>
      <c r="I41" s="18" t="s">
        <v>34</v>
      </c>
      <c r="J41" s="412"/>
      <c r="K41" s="106">
        <v>1.5</v>
      </c>
      <c r="L41" s="26">
        <v>1.5</v>
      </c>
      <c r="M41" s="201"/>
      <c r="N41" s="201"/>
      <c r="O41" s="26">
        <v>3</v>
      </c>
      <c r="P41" s="26">
        <v>3</v>
      </c>
      <c r="Q41" s="26">
        <v>1.5</v>
      </c>
      <c r="R41" s="91"/>
      <c r="S41" s="91"/>
      <c r="T41" s="26"/>
      <c r="U41" s="26"/>
      <c r="V41" s="26"/>
      <c r="W41" s="201"/>
      <c r="X41" s="201"/>
      <c r="Y41" s="26"/>
      <c r="Z41" s="26"/>
      <c r="AA41" s="91"/>
      <c r="AB41" s="91"/>
      <c r="AC41" s="26"/>
      <c r="AD41" s="26"/>
      <c r="AE41" s="201"/>
      <c r="AF41" s="201"/>
      <c r="AG41" s="26"/>
      <c r="AH41" s="26"/>
      <c r="AI41" s="91"/>
      <c r="AJ41" s="91"/>
      <c r="AK41" s="26"/>
      <c r="AL41" s="26"/>
      <c r="AM41" s="201"/>
      <c r="AN41" s="201"/>
      <c r="AO41" s="26"/>
      <c r="AP41" s="26"/>
      <c r="AQ41" s="91"/>
      <c r="AR41" s="91"/>
      <c r="AS41" s="26"/>
      <c r="AT41" s="26"/>
      <c r="AU41" s="201"/>
      <c r="AV41" s="26"/>
      <c r="AW41" s="26"/>
      <c r="AX41" s="26"/>
      <c r="AY41" s="26"/>
      <c r="AZ41" s="26"/>
      <c r="BA41" s="26"/>
      <c r="BB41" s="201"/>
      <c r="BC41" s="405"/>
      <c r="BD41" s="406"/>
    </row>
    <row r="42" spans="1:56" ht="15" customHeight="1" thickTop="1">
      <c r="A42" s="452" t="s">
        <v>49</v>
      </c>
      <c r="B42" s="426" t="s">
        <v>50</v>
      </c>
      <c r="C42" s="455" t="s">
        <v>51</v>
      </c>
      <c r="D42" s="17">
        <f t="shared" si="3"/>
        <v>3</v>
      </c>
      <c r="E42" s="17">
        <v>0</v>
      </c>
      <c r="F42" s="15" t="s">
        <v>33</v>
      </c>
      <c r="G42" s="23">
        <v>4.5</v>
      </c>
      <c r="H42" s="23">
        <f t="shared" si="2"/>
        <v>0</v>
      </c>
      <c r="I42" s="17" t="s">
        <v>34</v>
      </c>
      <c r="J42" s="407" t="s">
        <v>35</v>
      </c>
      <c r="K42" s="103"/>
      <c r="L42" s="23">
        <v>1.5</v>
      </c>
      <c r="M42" s="200">
        <v>1.5</v>
      </c>
      <c r="N42" s="200">
        <v>1.5</v>
      </c>
      <c r="O42" s="23"/>
      <c r="P42" s="23"/>
      <c r="Q42" s="23"/>
      <c r="R42" s="89"/>
      <c r="S42" s="89"/>
      <c r="T42" s="23"/>
      <c r="U42" s="23"/>
      <c r="V42" s="23"/>
      <c r="W42" s="200"/>
      <c r="X42" s="200"/>
      <c r="Y42" s="23"/>
      <c r="Z42" s="23"/>
      <c r="AA42" s="89"/>
      <c r="AB42" s="89"/>
      <c r="AC42" s="23"/>
      <c r="AD42" s="23"/>
      <c r="AE42" s="200"/>
      <c r="AF42" s="200"/>
      <c r="AG42" s="23"/>
      <c r="AH42" s="23"/>
      <c r="AI42" s="89"/>
      <c r="AJ42" s="89"/>
      <c r="AK42" s="23"/>
      <c r="AL42" s="23"/>
      <c r="AM42" s="200"/>
      <c r="AN42" s="200"/>
      <c r="AO42" s="23"/>
      <c r="AP42" s="23"/>
      <c r="AQ42" s="89"/>
      <c r="AR42" s="89"/>
      <c r="AS42" s="23"/>
      <c r="AT42" s="23"/>
      <c r="AU42" s="200"/>
      <c r="AV42" s="23"/>
      <c r="AW42" s="23"/>
      <c r="AX42" s="23"/>
      <c r="AY42" s="23"/>
      <c r="AZ42" s="23"/>
      <c r="BA42" s="23"/>
      <c r="BB42" s="200"/>
      <c r="BC42" s="458" t="s">
        <v>52</v>
      </c>
      <c r="BD42" s="459"/>
    </row>
    <row r="43" spans="1:56">
      <c r="A43" s="453"/>
      <c r="B43" s="427"/>
      <c r="C43" s="456"/>
      <c r="D43" s="5">
        <f t="shared" si="3"/>
        <v>3</v>
      </c>
      <c r="E43" s="5">
        <v>0</v>
      </c>
      <c r="F43" s="10" t="s">
        <v>36</v>
      </c>
      <c r="G43" s="24">
        <v>4.5</v>
      </c>
      <c r="H43" s="24">
        <f t="shared" si="2"/>
        <v>0</v>
      </c>
      <c r="I43" s="5" t="s">
        <v>34</v>
      </c>
      <c r="J43" s="408"/>
      <c r="K43" s="104"/>
      <c r="L43" s="24">
        <v>1.5</v>
      </c>
      <c r="M43" s="202">
        <v>1.5</v>
      </c>
      <c r="N43" s="202">
        <v>1.5</v>
      </c>
      <c r="O43" s="24"/>
      <c r="P43" s="24"/>
      <c r="Q43" s="24"/>
      <c r="R43" s="90"/>
      <c r="S43" s="90"/>
      <c r="T43" s="24"/>
      <c r="U43" s="24"/>
      <c r="V43" s="24"/>
      <c r="W43" s="202"/>
      <c r="X43" s="202"/>
      <c r="Y43" s="24"/>
      <c r="Z43" s="24"/>
      <c r="AA43" s="90"/>
      <c r="AB43" s="90"/>
      <c r="AC43" s="24"/>
      <c r="AD43" s="24"/>
      <c r="AE43" s="202"/>
      <c r="AF43" s="202"/>
      <c r="AG43" s="24"/>
      <c r="AH43" s="24"/>
      <c r="AI43" s="90"/>
      <c r="AJ43" s="90"/>
      <c r="AK43" s="24"/>
      <c r="AL43" s="24"/>
      <c r="AM43" s="202"/>
      <c r="AN43" s="202"/>
      <c r="AO43" s="24"/>
      <c r="AP43" s="24"/>
      <c r="AQ43" s="90"/>
      <c r="AR43" s="90"/>
      <c r="AS43" s="24"/>
      <c r="AT43" s="24"/>
      <c r="AU43" s="202"/>
      <c r="AV43" s="24"/>
      <c r="AW43" s="24"/>
      <c r="AX43" s="24"/>
      <c r="AY43" s="24"/>
      <c r="AZ43" s="24"/>
      <c r="BA43" s="24"/>
      <c r="BB43" s="202"/>
      <c r="BC43" s="460"/>
      <c r="BD43" s="461"/>
    </row>
    <row r="44" spans="1:56">
      <c r="A44" s="453"/>
      <c r="B44" s="427"/>
      <c r="C44" s="456"/>
      <c r="D44" s="5">
        <f t="shared" si="3"/>
        <v>4</v>
      </c>
      <c r="E44" s="5">
        <v>0</v>
      </c>
      <c r="F44" s="10" t="s">
        <v>39</v>
      </c>
      <c r="G44" s="24">
        <v>12</v>
      </c>
      <c r="H44" s="24">
        <f t="shared" si="2"/>
        <v>0</v>
      </c>
      <c r="I44" s="5">
        <v>123</v>
      </c>
      <c r="J44" s="408"/>
      <c r="K44" s="104"/>
      <c r="L44" s="24"/>
      <c r="M44" s="202"/>
      <c r="N44" s="202"/>
      <c r="O44" s="24">
        <v>3</v>
      </c>
      <c r="P44" s="24">
        <v>3</v>
      </c>
      <c r="Q44" s="24">
        <v>3</v>
      </c>
      <c r="R44" s="90"/>
      <c r="S44" s="90"/>
      <c r="T44" s="24">
        <v>3</v>
      </c>
      <c r="U44" s="24"/>
      <c r="V44" s="24"/>
      <c r="W44" s="202"/>
      <c r="X44" s="202"/>
      <c r="Y44" s="24"/>
      <c r="Z44" s="24"/>
      <c r="AA44" s="90"/>
      <c r="AB44" s="90"/>
      <c r="AC44" s="24"/>
      <c r="AD44" s="24"/>
      <c r="AE44" s="202"/>
      <c r="AF44" s="202"/>
      <c r="AG44" s="24"/>
      <c r="AH44" s="24"/>
      <c r="AI44" s="90"/>
      <c r="AJ44" s="90"/>
      <c r="AK44" s="24"/>
      <c r="AL44" s="24"/>
      <c r="AM44" s="202"/>
      <c r="AN44" s="202"/>
      <c r="AO44" s="24"/>
      <c r="AP44" s="24"/>
      <c r="AQ44" s="90"/>
      <c r="AR44" s="90"/>
      <c r="AS44" s="24"/>
      <c r="AT44" s="24"/>
      <c r="AU44" s="202"/>
      <c r="AV44" s="24"/>
      <c r="AW44" s="24"/>
      <c r="AX44" s="24"/>
      <c r="AY44" s="24"/>
      <c r="AZ44" s="24"/>
      <c r="BA44" s="24"/>
      <c r="BB44" s="202"/>
      <c r="BC44" s="460"/>
      <c r="BD44" s="461"/>
    </row>
    <row r="45" spans="1:56">
      <c r="A45" s="453"/>
      <c r="B45" s="427"/>
      <c r="C45" s="456"/>
      <c r="D45" s="5">
        <f t="shared" si="3"/>
        <v>4</v>
      </c>
      <c r="E45" s="5">
        <v>0</v>
      </c>
      <c r="F45" s="10" t="s">
        <v>36</v>
      </c>
      <c r="G45" s="24">
        <v>7.5</v>
      </c>
      <c r="H45" s="24">
        <f t="shared" si="2"/>
        <v>0</v>
      </c>
      <c r="I45" s="5" t="s">
        <v>34</v>
      </c>
      <c r="J45" s="408"/>
      <c r="K45" s="104"/>
      <c r="L45" s="24"/>
      <c r="M45" s="202"/>
      <c r="N45" s="202"/>
      <c r="O45" s="24"/>
      <c r="P45" s="24"/>
      <c r="Q45" s="24"/>
      <c r="R45" s="90"/>
      <c r="S45" s="90"/>
      <c r="T45" s="24">
        <v>1.5</v>
      </c>
      <c r="U45" s="24">
        <v>1.5</v>
      </c>
      <c r="V45" s="24">
        <v>1.5</v>
      </c>
      <c r="W45" s="202">
        <v>3</v>
      </c>
      <c r="X45" s="202"/>
      <c r="Y45" s="24"/>
      <c r="Z45" s="24"/>
      <c r="AA45" s="90"/>
      <c r="AB45" s="90"/>
      <c r="AC45" s="24"/>
      <c r="AD45" s="24"/>
      <c r="AE45" s="202"/>
      <c r="AF45" s="202"/>
      <c r="AG45" s="24"/>
      <c r="AH45" s="24"/>
      <c r="AI45" s="90"/>
      <c r="AJ45" s="90"/>
      <c r="AK45" s="24"/>
      <c r="AL45" s="24"/>
      <c r="AM45" s="202"/>
      <c r="AN45" s="202"/>
      <c r="AO45" s="24"/>
      <c r="AP45" s="24"/>
      <c r="AQ45" s="90"/>
      <c r="AR45" s="90"/>
      <c r="AS45" s="24"/>
      <c r="AT45" s="24"/>
      <c r="AU45" s="202"/>
      <c r="AV45" s="24"/>
      <c r="AW45" s="24"/>
      <c r="AX45" s="24"/>
      <c r="AY45" s="24"/>
      <c r="AZ45" s="24"/>
      <c r="BA45" s="24"/>
      <c r="BB45" s="202"/>
      <c r="BC45" s="460"/>
      <c r="BD45" s="461"/>
    </row>
    <row r="46" spans="1:56" ht="15" customHeight="1">
      <c r="A46" s="453"/>
      <c r="B46" s="427"/>
      <c r="C46" s="456"/>
      <c r="D46" s="5">
        <f t="shared" si="3"/>
        <v>5</v>
      </c>
      <c r="E46" s="5">
        <v>0</v>
      </c>
      <c r="F46" s="10" t="s">
        <v>53</v>
      </c>
      <c r="G46" s="24">
        <v>15</v>
      </c>
      <c r="H46" s="24">
        <f t="shared" si="2"/>
        <v>0</v>
      </c>
      <c r="I46" s="5">
        <v>19</v>
      </c>
      <c r="J46" s="408"/>
      <c r="K46" s="104"/>
      <c r="L46" s="24"/>
      <c r="M46" s="202"/>
      <c r="N46" s="202"/>
      <c r="O46" s="24"/>
      <c r="P46" s="24"/>
      <c r="Q46" s="24"/>
      <c r="R46" s="90"/>
      <c r="S46" s="90"/>
      <c r="T46" s="24"/>
      <c r="U46" s="24"/>
      <c r="V46" s="24"/>
      <c r="W46" s="202"/>
      <c r="X46" s="202">
        <v>3</v>
      </c>
      <c r="Y46" s="24">
        <v>3</v>
      </c>
      <c r="Z46" s="24">
        <v>3</v>
      </c>
      <c r="AA46" s="90"/>
      <c r="AB46" s="90"/>
      <c r="AC46" s="24">
        <v>3</v>
      </c>
      <c r="AD46" s="24">
        <v>3</v>
      </c>
      <c r="AE46" s="202"/>
      <c r="AF46" s="202"/>
      <c r="AG46" s="24"/>
      <c r="AH46" s="24"/>
      <c r="AI46" s="90"/>
      <c r="AJ46" s="90"/>
      <c r="AK46" s="24"/>
      <c r="AL46" s="24"/>
      <c r="AM46" s="202"/>
      <c r="AN46" s="202"/>
      <c r="AO46" s="24"/>
      <c r="AP46" s="24"/>
      <c r="AQ46" s="90"/>
      <c r="AR46" s="90"/>
      <c r="AS46" s="24"/>
      <c r="AT46" s="24"/>
      <c r="AU46" s="202"/>
      <c r="AV46" s="24"/>
      <c r="AW46" s="24"/>
      <c r="AX46" s="24"/>
      <c r="AY46" s="24"/>
      <c r="AZ46" s="24"/>
      <c r="BA46" s="24"/>
      <c r="BB46" s="202"/>
      <c r="BC46" s="460"/>
      <c r="BD46" s="461"/>
    </row>
    <row r="47" spans="1:56" ht="15" customHeight="1">
      <c r="A47" s="453"/>
      <c r="B47" s="427"/>
      <c r="C47" s="430" t="s">
        <v>54</v>
      </c>
      <c r="D47" s="5">
        <f t="shared" si="3"/>
        <v>3</v>
      </c>
      <c r="E47" s="5">
        <v>1</v>
      </c>
      <c r="F47" s="10" t="s">
        <v>33</v>
      </c>
      <c r="G47" s="24">
        <v>4.5</v>
      </c>
      <c r="H47" s="24">
        <f t="shared" si="2"/>
        <v>0</v>
      </c>
      <c r="I47" s="5">
        <v>123</v>
      </c>
      <c r="J47" s="408" t="s">
        <v>37</v>
      </c>
      <c r="K47" s="104"/>
      <c r="L47" s="24">
        <v>1.5</v>
      </c>
      <c r="M47" s="202"/>
      <c r="N47" s="202"/>
      <c r="O47" s="24">
        <v>1.5</v>
      </c>
      <c r="P47" s="24">
        <v>1.5</v>
      </c>
      <c r="Q47" s="24"/>
      <c r="R47" s="90"/>
      <c r="S47" s="90"/>
      <c r="T47" s="24"/>
      <c r="U47" s="24"/>
      <c r="V47" s="24"/>
      <c r="W47" s="202"/>
      <c r="X47" s="202"/>
      <c r="Y47" s="24"/>
      <c r="Z47" s="24"/>
      <c r="AA47" s="90"/>
      <c r="AB47" s="90"/>
      <c r="AC47" s="24"/>
      <c r="AD47" s="24"/>
      <c r="AE47" s="202"/>
      <c r="AF47" s="202"/>
      <c r="AG47" s="24"/>
      <c r="AH47" s="24"/>
      <c r="AI47" s="90"/>
      <c r="AJ47" s="90"/>
      <c r="AK47" s="24"/>
      <c r="AL47" s="24"/>
      <c r="AM47" s="202"/>
      <c r="AN47" s="202"/>
      <c r="AO47" s="24"/>
      <c r="AP47" s="24"/>
      <c r="AQ47" s="90"/>
      <c r="AR47" s="90"/>
      <c r="AS47" s="24"/>
      <c r="AT47" s="24"/>
      <c r="AU47" s="202"/>
      <c r="AV47" s="24"/>
      <c r="AW47" s="24"/>
      <c r="AX47" s="24"/>
      <c r="AY47" s="24"/>
      <c r="AZ47" s="24"/>
      <c r="BA47" s="24"/>
      <c r="BB47" s="202"/>
      <c r="BC47" s="460"/>
      <c r="BD47" s="461"/>
    </row>
    <row r="48" spans="1:56" ht="15" customHeight="1">
      <c r="A48" s="453"/>
      <c r="B48" s="427"/>
      <c r="C48" s="430"/>
      <c r="D48" s="5">
        <f t="shared" si="3"/>
        <v>3</v>
      </c>
      <c r="E48" s="5">
        <v>1</v>
      </c>
      <c r="F48" s="10" t="s">
        <v>36</v>
      </c>
      <c r="G48" s="24">
        <v>4.5</v>
      </c>
      <c r="H48" s="24">
        <f t="shared" si="2"/>
        <v>0</v>
      </c>
      <c r="I48" s="5">
        <v>123</v>
      </c>
      <c r="J48" s="408"/>
      <c r="K48" s="104"/>
      <c r="L48" s="24">
        <v>1.5</v>
      </c>
      <c r="M48" s="202"/>
      <c r="N48" s="202"/>
      <c r="O48" s="24">
        <v>1.5</v>
      </c>
      <c r="P48" s="24">
        <v>1.5</v>
      </c>
      <c r="Q48" s="24"/>
      <c r="R48" s="90"/>
      <c r="S48" s="90"/>
      <c r="T48" s="24"/>
      <c r="U48" s="24"/>
      <c r="V48" s="24"/>
      <c r="W48" s="202"/>
      <c r="X48" s="202"/>
      <c r="Y48" s="24"/>
      <c r="Z48" s="24"/>
      <c r="AA48" s="90"/>
      <c r="AB48" s="90"/>
      <c r="AC48" s="24"/>
      <c r="AD48" s="24"/>
      <c r="AE48" s="202"/>
      <c r="AF48" s="202"/>
      <c r="AG48" s="24"/>
      <c r="AH48" s="24"/>
      <c r="AI48" s="90"/>
      <c r="AJ48" s="90"/>
      <c r="AK48" s="24"/>
      <c r="AL48" s="24"/>
      <c r="AM48" s="202"/>
      <c r="AN48" s="202"/>
      <c r="AO48" s="24"/>
      <c r="AP48" s="24"/>
      <c r="AQ48" s="90"/>
      <c r="AR48" s="90"/>
      <c r="AS48" s="24"/>
      <c r="AT48" s="24"/>
      <c r="AU48" s="202"/>
      <c r="AV48" s="24"/>
      <c r="AW48" s="24"/>
      <c r="AX48" s="24"/>
      <c r="AY48" s="24"/>
      <c r="AZ48" s="24"/>
      <c r="BA48" s="24"/>
      <c r="BB48" s="202"/>
      <c r="BC48" s="460"/>
      <c r="BD48" s="461"/>
    </row>
    <row r="49" spans="1:56" ht="15" customHeight="1">
      <c r="A49" s="453"/>
      <c r="B49" s="427"/>
      <c r="C49" s="430"/>
      <c r="D49" s="5">
        <f t="shared" si="3"/>
        <v>4</v>
      </c>
      <c r="E49" s="5">
        <v>1</v>
      </c>
      <c r="F49" s="10" t="s">
        <v>39</v>
      </c>
      <c r="G49" s="24">
        <v>12</v>
      </c>
      <c r="H49" s="24">
        <f t="shared" si="2"/>
        <v>0</v>
      </c>
      <c r="I49" s="5">
        <v>123</v>
      </c>
      <c r="J49" s="408"/>
      <c r="K49" s="104"/>
      <c r="L49" s="24"/>
      <c r="M49" s="202"/>
      <c r="N49" s="202"/>
      <c r="O49" s="24"/>
      <c r="P49" s="24"/>
      <c r="Q49" s="24">
        <v>3</v>
      </c>
      <c r="R49" s="90"/>
      <c r="S49" s="90"/>
      <c r="T49" s="24">
        <v>3</v>
      </c>
      <c r="U49" s="24">
        <v>3</v>
      </c>
      <c r="V49" s="24">
        <v>3</v>
      </c>
      <c r="W49" s="202"/>
      <c r="X49" s="202"/>
      <c r="Y49" s="24"/>
      <c r="Z49" s="24"/>
      <c r="AA49" s="90"/>
      <c r="AB49" s="90"/>
      <c r="AC49" s="24"/>
      <c r="AD49" s="24"/>
      <c r="AE49" s="202"/>
      <c r="AF49" s="202"/>
      <c r="AG49" s="24"/>
      <c r="AH49" s="24"/>
      <c r="AI49" s="90"/>
      <c r="AJ49" s="90"/>
      <c r="AK49" s="24"/>
      <c r="AL49" s="24"/>
      <c r="AM49" s="202"/>
      <c r="AN49" s="202"/>
      <c r="AO49" s="24"/>
      <c r="AP49" s="24"/>
      <c r="AQ49" s="90"/>
      <c r="AR49" s="90"/>
      <c r="AS49" s="24"/>
      <c r="AT49" s="24"/>
      <c r="AU49" s="202"/>
      <c r="AV49" s="24"/>
      <c r="AW49" s="24"/>
      <c r="AX49" s="24"/>
      <c r="AY49" s="24"/>
      <c r="AZ49" s="24"/>
      <c r="BA49" s="24"/>
      <c r="BB49" s="202"/>
      <c r="BC49" s="460"/>
      <c r="BD49" s="461"/>
    </row>
    <row r="50" spans="1:56" ht="15" customHeight="1">
      <c r="A50" s="453"/>
      <c r="B50" s="427"/>
      <c r="C50" s="456" t="s">
        <v>51</v>
      </c>
      <c r="D50" s="5">
        <f t="shared" si="3"/>
        <v>3</v>
      </c>
      <c r="E50" s="5">
        <v>1</v>
      </c>
      <c r="F50" s="10" t="s">
        <v>36</v>
      </c>
      <c r="G50" s="24">
        <v>7.5</v>
      </c>
      <c r="H50" s="24">
        <f t="shared" si="2"/>
        <v>0</v>
      </c>
      <c r="I50" s="5" t="s">
        <v>34</v>
      </c>
      <c r="J50" s="408"/>
      <c r="K50" s="104"/>
      <c r="L50" s="24"/>
      <c r="M50" s="202"/>
      <c r="N50" s="202"/>
      <c r="O50" s="24"/>
      <c r="P50" s="24"/>
      <c r="Q50" s="24">
        <v>3</v>
      </c>
      <c r="R50" s="90"/>
      <c r="S50" s="90"/>
      <c r="T50" s="24">
        <v>3</v>
      </c>
      <c r="U50" s="24">
        <v>1.5</v>
      </c>
      <c r="V50" s="24"/>
      <c r="W50" s="202"/>
      <c r="X50" s="202"/>
      <c r="Y50" s="24"/>
      <c r="Z50" s="24"/>
      <c r="AA50" s="90"/>
      <c r="AB50" s="90"/>
      <c r="AC50" s="24"/>
      <c r="AD50" s="24"/>
      <c r="AE50" s="202"/>
      <c r="AF50" s="202"/>
      <c r="AG50" s="24"/>
      <c r="AH50" s="24"/>
      <c r="AI50" s="90"/>
      <c r="AJ50" s="90"/>
      <c r="AK50" s="24"/>
      <c r="AL50" s="24"/>
      <c r="AM50" s="202"/>
      <c r="AN50" s="202"/>
      <c r="AO50" s="24"/>
      <c r="AP50" s="24"/>
      <c r="AQ50" s="90"/>
      <c r="AR50" s="90"/>
      <c r="AS50" s="24"/>
      <c r="AT50" s="24"/>
      <c r="AU50" s="202"/>
      <c r="AV50" s="24"/>
      <c r="AW50" s="24"/>
      <c r="AX50" s="24"/>
      <c r="AY50" s="24"/>
      <c r="AZ50" s="24"/>
      <c r="BA50" s="24"/>
      <c r="BB50" s="202"/>
      <c r="BC50" s="460"/>
      <c r="BD50" s="461"/>
    </row>
    <row r="51" spans="1:56" ht="15" customHeight="1" thickBot="1">
      <c r="A51" s="454"/>
      <c r="B51" s="428"/>
      <c r="C51" s="457"/>
      <c r="D51" s="18">
        <f t="shared" si="3"/>
        <v>5</v>
      </c>
      <c r="E51" s="18">
        <v>1</v>
      </c>
      <c r="F51" s="16" t="s">
        <v>53</v>
      </c>
      <c r="G51" s="26">
        <v>15</v>
      </c>
      <c r="H51" s="26">
        <f t="shared" si="2"/>
        <v>0</v>
      </c>
      <c r="I51" s="18">
        <v>19</v>
      </c>
      <c r="J51" s="412"/>
      <c r="K51" s="106"/>
      <c r="L51" s="26"/>
      <c r="M51" s="201"/>
      <c r="N51" s="201"/>
      <c r="O51" s="26"/>
      <c r="P51" s="26"/>
      <c r="Q51" s="26"/>
      <c r="R51" s="91"/>
      <c r="S51" s="91"/>
      <c r="T51" s="26"/>
      <c r="U51" s="26"/>
      <c r="V51" s="26">
        <v>3</v>
      </c>
      <c r="W51" s="201"/>
      <c r="X51" s="201"/>
      <c r="Y51" s="26">
        <v>3</v>
      </c>
      <c r="Z51" s="26">
        <v>3</v>
      </c>
      <c r="AA51" s="91"/>
      <c r="AB51" s="91"/>
      <c r="AC51" s="26">
        <v>3</v>
      </c>
      <c r="AD51" s="26">
        <v>3</v>
      </c>
      <c r="AE51" s="201"/>
      <c r="AF51" s="201"/>
      <c r="AG51" s="26"/>
      <c r="AH51" s="26"/>
      <c r="AI51" s="91"/>
      <c r="AJ51" s="91"/>
      <c r="AK51" s="26"/>
      <c r="AL51" s="26"/>
      <c r="AM51" s="201"/>
      <c r="AN51" s="201"/>
      <c r="AO51" s="26"/>
      <c r="AP51" s="26"/>
      <c r="AQ51" s="91"/>
      <c r="AR51" s="91"/>
      <c r="AS51" s="26"/>
      <c r="AT51" s="26"/>
      <c r="AU51" s="201"/>
      <c r="AV51" s="26"/>
      <c r="AW51" s="26"/>
      <c r="AX51" s="26"/>
      <c r="AY51" s="26"/>
      <c r="AZ51" s="26"/>
      <c r="BA51" s="26"/>
      <c r="BB51" s="201"/>
      <c r="BC51" s="462"/>
      <c r="BD51" s="463"/>
    </row>
    <row r="52" spans="1:56" ht="15" customHeight="1" thickTop="1">
      <c r="A52" s="452" t="s">
        <v>55</v>
      </c>
      <c r="B52" s="426" t="s">
        <v>56</v>
      </c>
      <c r="C52" s="429" t="s">
        <v>57</v>
      </c>
      <c r="D52" s="17">
        <f t="shared" si="3"/>
        <v>3</v>
      </c>
      <c r="E52" s="17">
        <v>0</v>
      </c>
      <c r="F52" s="15" t="s">
        <v>33</v>
      </c>
      <c r="G52" s="23">
        <v>4.5</v>
      </c>
      <c r="H52" s="23">
        <f t="shared" si="2"/>
        <v>0</v>
      </c>
      <c r="I52" s="17" t="s">
        <v>34</v>
      </c>
      <c r="J52" s="407" t="s">
        <v>35</v>
      </c>
      <c r="K52" s="103"/>
      <c r="L52" s="23"/>
      <c r="M52" s="200"/>
      <c r="N52" s="200"/>
      <c r="O52" s="23"/>
      <c r="P52" s="23"/>
      <c r="Q52" s="23"/>
      <c r="R52" s="89"/>
      <c r="S52" s="89"/>
      <c r="T52" s="23">
        <v>1.5</v>
      </c>
      <c r="U52" s="23">
        <v>1.5</v>
      </c>
      <c r="V52" s="23">
        <v>1.5</v>
      </c>
      <c r="W52" s="200"/>
      <c r="X52" s="200"/>
      <c r="Y52" s="23"/>
      <c r="Z52" s="23"/>
      <c r="AA52" s="89"/>
      <c r="AB52" s="89"/>
      <c r="AC52" s="23"/>
      <c r="AD52" s="23"/>
      <c r="AE52" s="200"/>
      <c r="AF52" s="200"/>
      <c r="AG52" s="23"/>
      <c r="AH52" s="23"/>
      <c r="AI52" s="89"/>
      <c r="AJ52" s="89"/>
      <c r="AK52" s="23"/>
      <c r="AL52" s="23"/>
      <c r="AM52" s="200"/>
      <c r="AN52" s="200"/>
      <c r="AO52" s="23"/>
      <c r="AP52" s="23"/>
      <c r="AQ52" s="89"/>
      <c r="AR52" s="89"/>
      <c r="AS52" s="23"/>
      <c r="AT52" s="23"/>
      <c r="AU52" s="200"/>
      <c r="AV52" s="23"/>
      <c r="AW52" s="23"/>
      <c r="AX52" s="23"/>
      <c r="AY52" s="23"/>
      <c r="AZ52" s="23"/>
      <c r="BA52" s="23"/>
      <c r="BB52" s="200"/>
      <c r="BC52" s="403"/>
      <c r="BD52" s="404"/>
    </row>
    <row r="53" spans="1:56" ht="15" customHeight="1">
      <c r="A53" s="453"/>
      <c r="B53" s="427"/>
      <c r="C53" s="430"/>
      <c r="D53" s="5">
        <f t="shared" si="3"/>
        <v>3</v>
      </c>
      <c r="E53" s="5">
        <v>0</v>
      </c>
      <c r="F53" s="10" t="s">
        <v>36</v>
      </c>
      <c r="G53" s="24">
        <v>4.5</v>
      </c>
      <c r="H53" s="24">
        <f t="shared" si="2"/>
        <v>0</v>
      </c>
      <c r="I53" s="5" t="s">
        <v>34</v>
      </c>
      <c r="J53" s="408"/>
      <c r="K53" s="104"/>
      <c r="L53" s="24"/>
      <c r="M53" s="202"/>
      <c r="N53" s="202"/>
      <c r="O53" s="24"/>
      <c r="P53" s="24"/>
      <c r="Q53" s="24"/>
      <c r="R53" s="90"/>
      <c r="S53" s="90"/>
      <c r="T53" s="24">
        <v>1.5</v>
      </c>
      <c r="U53" s="24">
        <v>1.5</v>
      </c>
      <c r="V53" s="24">
        <v>1.5</v>
      </c>
      <c r="W53" s="202"/>
      <c r="X53" s="202"/>
      <c r="Y53" s="24"/>
      <c r="Z53" s="24"/>
      <c r="AA53" s="90"/>
      <c r="AB53" s="90"/>
      <c r="AC53" s="24"/>
      <c r="AD53" s="24"/>
      <c r="AE53" s="202"/>
      <c r="AF53" s="202"/>
      <c r="AG53" s="24"/>
      <c r="AH53" s="24"/>
      <c r="AI53" s="90"/>
      <c r="AJ53" s="90"/>
      <c r="AK53" s="24"/>
      <c r="AL53" s="24"/>
      <c r="AM53" s="202"/>
      <c r="AN53" s="202"/>
      <c r="AO53" s="24"/>
      <c r="AP53" s="24"/>
      <c r="AQ53" s="90"/>
      <c r="AR53" s="90"/>
      <c r="AS53" s="24"/>
      <c r="AT53" s="24"/>
      <c r="AU53" s="202"/>
      <c r="AV53" s="24"/>
      <c r="AW53" s="24"/>
      <c r="AX53" s="24"/>
      <c r="AY53" s="24"/>
      <c r="AZ53" s="24"/>
      <c r="BA53" s="24"/>
      <c r="BB53" s="202"/>
      <c r="BC53" s="438"/>
      <c r="BD53" s="442"/>
    </row>
    <row r="54" spans="1:56" ht="15" customHeight="1">
      <c r="A54" s="453"/>
      <c r="B54" s="427"/>
      <c r="C54" s="430"/>
      <c r="D54" s="5">
        <f t="shared" si="3"/>
        <v>3</v>
      </c>
      <c r="E54" s="5">
        <v>0</v>
      </c>
      <c r="F54" s="10" t="s">
        <v>39</v>
      </c>
      <c r="G54" s="24">
        <v>9</v>
      </c>
      <c r="H54" s="24">
        <f t="shared" si="2"/>
        <v>0</v>
      </c>
      <c r="I54" s="5">
        <v>127</v>
      </c>
      <c r="J54" s="408"/>
      <c r="K54" s="104"/>
      <c r="L54" s="24"/>
      <c r="M54" s="202"/>
      <c r="N54" s="202"/>
      <c r="O54" s="24"/>
      <c r="P54" s="24"/>
      <c r="Q54" s="24"/>
      <c r="R54" s="90"/>
      <c r="S54" s="90"/>
      <c r="T54" s="24"/>
      <c r="U54" s="24"/>
      <c r="V54" s="24"/>
      <c r="W54" s="202">
        <v>3</v>
      </c>
      <c r="X54" s="202">
        <v>3</v>
      </c>
      <c r="Y54" s="24">
        <v>3</v>
      </c>
      <c r="Z54" s="24"/>
      <c r="AA54" s="90"/>
      <c r="AB54" s="90"/>
      <c r="AC54" s="24"/>
      <c r="AD54" s="24"/>
      <c r="AE54" s="202"/>
      <c r="AF54" s="202"/>
      <c r="AG54" s="24"/>
      <c r="AH54" s="24"/>
      <c r="AI54" s="90"/>
      <c r="AJ54" s="90"/>
      <c r="AK54" s="24"/>
      <c r="AL54" s="24"/>
      <c r="AM54" s="202"/>
      <c r="AN54" s="202"/>
      <c r="AO54" s="24"/>
      <c r="AP54" s="24"/>
      <c r="AQ54" s="90"/>
      <c r="AR54" s="90"/>
      <c r="AS54" s="24"/>
      <c r="AT54" s="24"/>
      <c r="AU54" s="202"/>
      <c r="AV54" s="24"/>
      <c r="AW54" s="24"/>
      <c r="AX54" s="24"/>
      <c r="AY54" s="24"/>
      <c r="AZ54" s="24"/>
      <c r="BA54" s="24"/>
      <c r="BB54" s="202"/>
      <c r="BC54" s="438"/>
      <c r="BD54" s="442"/>
    </row>
    <row r="55" spans="1:56" ht="15" customHeight="1">
      <c r="A55" s="453"/>
      <c r="B55" s="427"/>
      <c r="C55" s="430"/>
      <c r="D55" s="5">
        <f t="shared" si="3"/>
        <v>3</v>
      </c>
      <c r="E55" s="5">
        <v>1</v>
      </c>
      <c r="F55" s="10" t="s">
        <v>33</v>
      </c>
      <c r="G55" s="24">
        <v>4.5</v>
      </c>
      <c r="H55" s="24">
        <f t="shared" si="2"/>
        <v>0</v>
      </c>
      <c r="I55" s="5" t="s">
        <v>34</v>
      </c>
      <c r="J55" s="408" t="s">
        <v>37</v>
      </c>
      <c r="K55" s="104"/>
      <c r="L55" s="24"/>
      <c r="M55" s="202"/>
      <c r="N55" s="202"/>
      <c r="O55" s="24"/>
      <c r="P55" s="24"/>
      <c r="Q55" s="24"/>
      <c r="R55" s="90"/>
      <c r="S55" s="90"/>
      <c r="T55" s="24"/>
      <c r="U55" s="24">
        <v>1.5</v>
      </c>
      <c r="V55" s="24">
        <v>1.5</v>
      </c>
      <c r="W55" s="202"/>
      <c r="X55" s="202"/>
      <c r="Y55" s="24">
        <v>1.5</v>
      </c>
      <c r="Z55" s="24"/>
      <c r="AA55" s="90"/>
      <c r="AB55" s="90"/>
      <c r="AC55" s="24"/>
      <c r="AD55" s="24"/>
      <c r="AE55" s="202"/>
      <c r="AF55" s="202"/>
      <c r="AG55" s="24"/>
      <c r="AH55" s="24"/>
      <c r="AI55" s="90"/>
      <c r="AJ55" s="90"/>
      <c r="AK55" s="24"/>
      <c r="AL55" s="24"/>
      <c r="AM55" s="202"/>
      <c r="AN55" s="202"/>
      <c r="AO55" s="24"/>
      <c r="AP55" s="24"/>
      <c r="AQ55" s="90"/>
      <c r="AR55" s="90"/>
      <c r="AS55" s="24"/>
      <c r="AT55" s="24"/>
      <c r="AU55" s="202"/>
      <c r="AV55" s="24"/>
      <c r="AW55" s="24"/>
      <c r="AX55" s="24"/>
      <c r="AY55" s="24"/>
      <c r="AZ55" s="24"/>
      <c r="BA55" s="24"/>
      <c r="BB55" s="202"/>
      <c r="BC55" s="438"/>
      <c r="BD55" s="442"/>
    </row>
    <row r="56" spans="1:56" ht="15" customHeight="1">
      <c r="A56" s="453"/>
      <c r="B56" s="427"/>
      <c r="C56" s="430"/>
      <c r="D56" s="5">
        <f t="shared" si="3"/>
        <v>3</v>
      </c>
      <c r="E56" s="5">
        <v>1</v>
      </c>
      <c r="F56" s="10" t="s">
        <v>36</v>
      </c>
      <c r="G56" s="24">
        <v>4.5</v>
      </c>
      <c r="H56" s="24">
        <f t="shared" si="2"/>
        <v>0</v>
      </c>
      <c r="I56" s="5" t="s">
        <v>34</v>
      </c>
      <c r="J56" s="408"/>
      <c r="K56" s="104"/>
      <c r="L56" s="24"/>
      <c r="M56" s="202"/>
      <c r="N56" s="202"/>
      <c r="O56" s="24"/>
      <c r="P56" s="24"/>
      <c r="Q56" s="24"/>
      <c r="R56" s="90"/>
      <c r="S56" s="90"/>
      <c r="T56" s="24"/>
      <c r="U56" s="24">
        <v>1.5</v>
      </c>
      <c r="V56" s="24">
        <v>1.5</v>
      </c>
      <c r="W56" s="202"/>
      <c r="X56" s="202"/>
      <c r="Y56" s="24">
        <v>1.5</v>
      </c>
      <c r="Z56" s="24"/>
      <c r="AA56" s="90"/>
      <c r="AB56" s="90"/>
      <c r="AC56" s="24"/>
      <c r="AD56" s="24"/>
      <c r="AE56" s="202"/>
      <c r="AF56" s="202"/>
      <c r="AG56" s="24"/>
      <c r="AH56" s="24"/>
      <c r="AI56" s="90"/>
      <c r="AJ56" s="90"/>
      <c r="AK56" s="24"/>
      <c r="AL56" s="24"/>
      <c r="AM56" s="202"/>
      <c r="AN56" s="202"/>
      <c r="AO56" s="24"/>
      <c r="AP56" s="24"/>
      <c r="AQ56" s="90"/>
      <c r="AR56" s="90"/>
      <c r="AS56" s="24"/>
      <c r="AT56" s="24"/>
      <c r="AU56" s="202"/>
      <c r="AV56" s="24"/>
      <c r="AW56" s="24"/>
      <c r="AX56" s="24"/>
      <c r="AY56" s="24"/>
      <c r="AZ56" s="24"/>
      <c r="BA56" s="24"/>
      <c r="BB56" s="202"/>
      <c r="BC56" s="438"/>
      <c r="BD56" s="442"/>
    </row>
    <row r="57" spans="1:56" ht="15" customHeight="1" thickBot="1">
      <c r="A57" s="454"/>
      <c r="B57" s="428"/>
      <c r="C57" s="431"/>
      <c r="D57" s="18">
        <f t="shared" si="3"/>
        <v>3</v>
      </c>
      <c r="E57" s="18">
        <v>1</v>
      </c>
      <c r="F57" s="16" t="s">
        <v>39</v>
      </c>
      <c r="G57" s="26">
        <v>9</v>
      </c>
      <c r="H57" s="26">
        <f t="shared" si="2"/>
        <v>0</v>
      </c>
      <c r="I57" s="18">
        <v>127</v>
      </c>
      <c r="J57" s="412"/>
      <c r="K57" s="106"/>
      <c r="L57" s="26"/>
      <c r="M57" s="201"/>
      <c r="N57" s="201"/>
      <c r="O57" s="26"/>
      <c r="P57" s="26"/>
      <c r="Q57" s="26"/>
      <c r="R57" s="91"/>
      <c r="S57" s="91"/>
      <c r="T57" s="26"/>
      <c r="U57" s="26"/>
      <c r="V57" s="26"/>
      <c r="W57" s="201"/>
      <c r="X57" s="201"/>
      <c r="Y57" s="26"/>
      <c r="Z57" s="26">
        <v>3</v>
      </c>
      <c r="AA57" s="91"/>
      <c r="AB57" s="91"/>
      <c r="AC57" s="26">
        <v>3</v>
      </c>
      <c r="AD57" s="26">
        <v>3</v>
      </c>
      <c r="AE57" s="201"/>
      <c r="AF57" s="201"/>
      <c r="AG57" s="26"/>
      <c r="AH57" s="26"/>
      <c r="AI57" s="91"/>
      <c r="AJ57" s="91"/>
      <c r="AK57" s="26"/>
      <c r="AL57" s="26"/>
      <c r="AM57" s="201"/>
      <c r="AN57" s="201"/>
      <c r="AO57" s="26"/>
      <c r="AP57" s="26"/>
      <c r="AQ57" s="91"/>
      <c r="AR57" s="91"/>
      <c r="AS57" s="26"/>
      <c r="AT57" s="26"/>
      <c r="AU57" s="201"/>
      <c r="AV57" s="26"/>
      <c r="AW57" s="26"/>
      <c r="AX57" s="26"/>
      <c r="AY57" s="26"/>
      <c r="AZ57" s="26"/>
      <c r="BA57" s="26"/>
      <c r="BB57" s="201"/>
      <c r="BC57" s="405"/>
      <c r="BD57" s="406"/>
    </row>
    <row r="58" spans="1:56" ht="15" customHeight="1" thickTop="1">
      <c r="A58" s="452" t="s">
        <v>58</v>
      </c>
      <c r="B58" s="426" t="s">
        <v>59</v>
      </c>
      <c r="C58" s="455" t="s">
        <v>60</v>
      </c>
      <c r="D58" s="17">
        <f t="shared" si="3"/>
        <v>5</v>
      </c>
      <c r="E58" s="17">
        <v>0</v>
      </c>
      <c r="F58" s="15" t="s">
        <v>33</v>
      </c>
      <c r="G58" s="23">
        <v>7.5</v>
      </c>
      <c r="H58" s="23">
        <f t="shared" si="2"/>
        <v>0</v>
      </c>
      <c r="I58" s="17" t="s">
        <v>34</v>
      </c>
      <c r="J58" s="407" t="s">
        <v>35</v>
      </c>
      <c r="K58" s="103">
        <v>1.5</v>
      </c>
      <c r="L58" s="23">
        <v>1.5</v>
      </c>
      <c r="M58" s="200">
        <v>1.5</v>
      </c>
      <c r="N58" s="200">
        <v>1.5</v>
      </c>
      <c r="O58" s="23">
        <v>1.5</v>
      </c>
      <c r="P58" s="23"/>
      <c r="Q58" s="23"/>
      <c r="R58" s="89"/>
      <c r="S58" s="89"/>
      <c r="T58" s="23"/>
      <c r="U58" s="23"/>
      <c r="V58" s="23"/>
      <c r="W58" s="200"/>
      <c r="X58" s="200"/>
      <c r="Y58" s="23"/>
      <c r="Z58" s="23"/>
      <c r="AA58" s="89"/>
      <c r="AB58" s="89"/>
      <c r="AC58" s="23"/>
      <c r="AD58" s="23"/>
      <c r="AE58" s="200"/>
      <c r="AF58" s="200"/>
      <c r="AG58" s="23"/>
      <c r="AH58" s="23"/>
      <c r="AI58" s="89"/>
      <c r="AJ58" s="89"/>
      <c r="AK58" s="23"/>
      <c r="AL58" s="23"/>
      <c r="AM58" s="200"/>
      <c r="AN58" s="200"/>
      <c r="AO58" s="23"/>
      <c r="AP58" s="23"/>
      <c r="AQ58" s="89"/>
      <c r="AR58" s="89"/>
      <c r="AS58" s="23"/>
      <c r="AT58" s="23"/>
      <c r="AU58" s="200"/>
      <c r="AV58" s="23"/>
      <c r="AW58" s="23"/>
      <c r="AX58" s="23"/>
      <c r="AY58" s="23"/>
      <c r="AZ58" s="23"/>
      <c r="BA58" s="23"/>
      <c r="BB58" s="200"/>
      <c r="BC58" s="403" t="s">
        <v>61</v>
      </c>
      <c r="BD58" s="404"/>
    </row>
    <row r="59" spans="1:56" ht="15" customHeight="1">
      <c r="A59" s="453"/>
      <c r="B59" s="427"/>
      <c r="C59" s="456"/>
      <c r="D59" s="5">
        <f t="shared" si="3"/>
        <v>5</v>
      </c>
      <c r="E59" s="5">
        <v>0</v>
      </c>
      <c r="F59" s="10" t="s">
        <v>36</v>
      </c>
      <c r="G59" s="24">
        <v>7.5</v>
      </c>
      <c r="H59" s="24">
        <f t="shared" si="2"/>
        <v>0</v>
      </c>
      <c r="I59" s="5" t="s">
        <v>34</v>
      </c>
      <c r="J59" s="408"/>
      <c r="K59" s="104">
        <v>1.5</v>
      </c>
      <c r="L59" s="24">
        <v>1.5</v>
      </c>
      <c r="M59" s="202">
        <v>1.5</v>
      </c>
      <c r="N59" s="202">
        <v>1.5</v>
      </c>
      <c r="O59" s="24">
        <v>1.5</v>
      </c>
      <c r="P59" s="24"/>
      <c r="Q59" s="24"/>
      <c r="R59" s="90"/>
      <c r="S59" s="90"/>
      <c r="T59" s="24"/>
      <c r="U59" s="24"/>
      <c r="V59" s="24"/>
      <c r="W59" s="202"/>
      <c r="X59" s="202"/>
      <c r="Y59" s="24"/>
      <c r="Z59" s="24"/>
      <c r="AA59" s="90"/>
      <c r="AB59" s="90"/>
      <c r="AC59" s="24"/>
      <c r="AD59" s="24"/>
      <c r="AE59" s="202"/>
      <c r="AF59" s="202"/>
      <c r="AG59" s="24"/>
      <c r="AH59" s="24"/>
      <c r="AI59" s="90"/>
      <c r="AJ59" s="90"/>
      <c r="AK59" s="24"/>
      <c r="AL59" s="24"/>
      <c r="AM59" s="202"/>
      <c r="AN59" s="202"/>
      <c r="AO59" s="24"/>
      <c r="AP59" s="24"/>
      <c r="AQ59" s="90"/>
      <c r="AR59" s="90"/>
      <c r="AS59" s="24"/>
      <c r="AT59" s="24"/>
      <c r="AU59" s="202"/>
      <c r="AV59" s="24"/>
      <c r="AW59" s="24"/>
      <c r="AX59" s="24"/>
      <c r="AY59" s="24"/>
      <c r="AZ59" s="24"/>
      <c r="BA59" s="24"/>
      <c r="BB59" s="202"/>
      <c r="BC59" s="438"/>
      <c r="BD59" s="442"/>
    </row>
    <row r="60" spans="1:56" ht="15" customHeight="1">
      <c r="A60" s="453"/>
      <c r="B60" s="427"/>
      <c r="C60" s="456"/>
      <c r="D60" s="5">
        <f t="shared" si="3"/>
        <v>1</v>
      </c>
      <c r="E60" s="5">
        <v>0</v>
      </c>
      <c r="F60" s="10" t="s">
        <v>39</v>
      </c>
      <c r="G60" s="24">
        <v>3</v>
      </c>
      <c r="H60" s="24">
        <f t="shared" si="2"/>
        <v>0</v>
      </c>
      <c r="I60" s="5">
        <v>123</v>
      </c>
      <c r="J60" s="408"/>
      <c r="K60" s="104"/>
      <c r="L60" s="24"/>
      <c r="M60" s="202"/>
      <c r="N60" s="202"/>
      <c r="O60" s="24"/>
      <c r="P60" s="24">
        <v>3</v>
      </c>
      <c r="Q60" s="24"/>
      <c r="R60" s="90"/>
      <c r="S60" s="90"/>
      <c r="T60" s="24"/>
      <c r="U60" s="24"/>
      <c r="V60" s="24"/>
      <c r="W60" s="202"/>
      <c r="X60" s="202"/>
      <c r="Y60" s="24"/>
      <c r="Z60" s="24"/>
      <c r="AA60" s="90"/>
      <c r="AB60" s="90"/>
      <c r="AC60" s="24"/>
      <c r="AD60" s="24"/>
      <c r="AE60" s="202"/>
      <c r="AF60" s="202"/>
      <c r="AG60" s="24"/>
      <c r="AH60" s="24"/>
      <c r="AI60" s="90"/>
      <c r="AJ60" s="90"/>
      <c r="AK60" s="24"/>
      <c r="AL60" s="24"/>
      <c r="AM60" s="202"/>
      <c r="AN60" s="202"/>
      <c r="AO60" s="24"/>
      <c r="AP60" s="24"/>
      <c r="AQ60" s="90"/>
      <c r="AR60" s="90"/>
      <c r="AS60" s="24"/>
      <c r="AT60" s="24"/>
      <c r="AU60" s="202"/>
      <c r="AV60" s="24"/>
      <c r="AW60" s="24"/>
      <c r="AX60" s="24"/>
      <c r="AY60" s="24"/>
      <c r="AZ60" s="24"/>
      <c r="BA60" s="24"/>
      <c r="BB60" s="202"/>
      <c r="BC60" s="438"/>
      <c r="BD60" s="442"/>
    </row>
    <row r="61" spans="1:56" ht="15" customHeight="1">
      <c r="A61" s="453"/>
      <c r="B61" s="427"/>
      <c r="C61" s="456"/>
      <c r="D61" s="5">
        <f t="shared" si="3"/>
        <v>5</v>
      </c>
      <c r="E61" s="5">
        <v>1</v>
      </c>
      <c r="F61" s="10" t="s">
        <v>33</v>
      </c>
      <c r="G61" s="24">
        <v>7.5</v>
      </c>
      <c r="H61" s="24">
        <f t="shared" si="2"/>
        <v>0</v>
      </c>
      <c r="I61" s="5" t="s">
        <v>34</v>
      </c>
      <c r="J61" s="408" t="s">
        <v>37</v>
      </c>
      <c r="K61" s="104"/>
      <c r="L61" s="24"/>
      <c r="M61" s="202"/>
      <c r="N61" s="202"/>
      <c r="O61" s="24">
        <v>1.5</v>
      </c>
      <c r="P61" s="24">
        <v>1.5</v>
      </c>
      <c r="Q61" s="24">
        <v>1.5</v>
      </c>
      <c r="R61" s="90"/>
      <c r="S61" s="90"/>
      <c r="T61" s="24">
        <v>1.5</v>
      </c>
      <c r="U61" s="24">
        <v>1.5</v>
      </c>
      <c r="V61" s="24"/>
      <c r="W61" s="202"/>
      <c r="X61" s="202"/>
      <c r="Y61" s="24"/>
      <c r="Z61" s="24"/>
      <c r="AA61" s="90"/>
      <c r="AB61" s="90"/>
      <c r="AC61" s="24"/>
      <c r="AD61" s="24"/>
      <c r="AE61" s="202"/>
      <c r="AF61" s="202"/>
      <c r="AG61" s="24"/>
      <c r="AH61" s="24"/>
      <c r="AI61" s="90"/>
      <c r="AJ61" s="90"/>
      <c r="AK61" s="24"/>
      <c r="AL61" s="24"/>
      <c r="AM61" s="202"/>
      <c r="AN61" s="202"/>
      <c r="AO61" s="24"/>
      <c r="AP61" s="24"/>
      <c r="AQ61" s="90"/>
      <c r="AR61" s="90"/>
      <c r="AS61" s="24"/>
      <c r="AT61" s="24"/>
      <c r="AU61" s="202"/>
      <c r="AV61" s="24"/>
      <c r="AW61" s="24"/>
      <c r="AX61" s="24"/>
      <c r="AY61" s="24"/>
      <c r="AZ61" s="24"/>
      <c r="BA61" s="24"/>
      <c r="BB61" s="202"/>
      <c r="BC61" s="438"/>
      <c r="BD61" s="442"/>
    </row>
    <row r="62" spans="1:56" ht="15" customHeight="1">
      <c r="A62" s="453"/>
      <c r="B62" s="427"/>
      <c r="C62" s="456"/>
      <c r="D62" s="5">
        <f t="shared" si="3"/>
        <v>5</v>
      </c>
      <c r="E62" s="5">
        <v>1</v>
      </c>
      <c r="F62" s="10" t="s">
        <v>36</v>
      </c>
      <c r="G62" s="24">
        <v>7.5</v>
      </c>
      <c r="H62" s="24">
        <f t="shared" si="2"/>
        <v>0</v>
      </c>
      <c r="I62" s="5" t="s">
        <v>34</v>
      </c>
      <c r="J62" s="408"/>
      <c r="K62" s="104"/>
      <c r="L62" s="24"/>
      <c r="M62" s="202"/>
      <c r="N62" s="202"/>
      <c r="O62" s="24">
        <v>1.5</v>
      </c>
      <c r="P62" s="24">
        <v>1.5</v>
      </c>
      <c r="Q62" s="24">
        <v>1.5</v>
      </c>
      <c r="R62" s="90"/>
      <c r="S62" s="90"/>
      <c r="T62" s="24">
        <v>1.5</v>
      </c>
      <c r="U62" s="24">
        <v>1.5</v>
      </c>
      <c r="V62" s="24"/>
      <c r="W62" s="202"/>
      <c r="X62" s="202"/>
      <c r="Y62" s="24"/>
      <c r="Z62" s="24"/>
      <c r="AA62" s="90"/>
      <c r="AB62" s="90"/>
      <c r="AC62" s="24"/>
      <c r="AD62" s="24"/>
      <c r="AE62" s="202"/>
      <c r="AF62" s="202"/>
      <c r="AG62" s="24"/>
      <c r="AH62" s="24"/>
      <c r="AI62" s="90"/>
      <c r="AJ62" s="90"/>
      <c r="AK62" s="24"/>
      <c r="AL62" s="24"/>
      <c r="AM62" s="202"/>
      <c r="AN62" s="202"/>
      <c r="AO62" s="24"/>
      <c r="AP62" s="24"/>
      <c r="AQ62" s="90"/>
      <c r="AR62" s="90"/>
      <c r="AS62" s="24"/>
      <c r="AT62" s="24"/>
      <c r="AU62" s="202"/>
      <c r="AV62" s="24"/>
      <c r="AW62" s="24"/>
      <c r="AX62" s="24"/>
      <c r="AY62" s="24"/>
      <c r="AZ62" s="24"/>
      <c r="BA62" s="24"/>
      <c r="BB62" s="202"/>
      <c r="BC62" s="438"/>
      <c r="BD62" s="442"/>
    </row>
    <row r="63" spans="1:56" ht="15" customHeight="1" thickBot="1">
      <c r="A63" s="454"/>
      <c r="B63" s="428"/>
      <c r="C63" s="457"/>
      <c r="D63" s="18">
        <f t="shared" si="3"/>
        <v>1</v>
      </c>
      <c r="E63" s="18">
        <v>1</v>
      </c>
      <c r="F63" s="16" t="s">
        <v>39</v>
      </c>
      <c r="G63" s="26">
        <v>3</v>
      </c>
      <c r="H63" s="26">
        <f t="shared" si="2"/>
        <v>0</v>
      </c>
      <c r="I63" s="18">
        <v>123</v>
      </c>
      <c r="J63" s="412"/>
      <c r="K63" s="106"/>
      <c r="L63" s="26"/>
      <c r="M63" s="201"/>
      <c r="N63" s="201"/>
      <c r="O63" s="26"/>
      <c r="P63" s="26"/>
      <c r="Q63" s="26"/>
      <c r="R63" s="91"/>
      <c r="S63" s="91"/>
      <c r="T63" s="26"/>
      <c r="U63" s="26"/>
      <c r="V63" s="26">
        <v>3</v>
      </c>
      <c r="W63" s="201"/>
      <c r="X63" s="201"/>
      <c r="Y63" s="26"/>
      <c r="Z63" s="26"/>
      <c r="AA63" s="91"/>
      <c r="AB63" s="91"/>
      <c r="AC63" s="26"/>
      <c r="AD63" s="26"/>
      <c r="AE63" s="201"/>
      <c r="AF63" s="201"/>
      <c r="AG63" s="26"/>
      <c r="AH63" s="26"/>
      <c r="AI63" s="91"/>
      <c r="AJ63" s="91"/>
      <c r="AK63" s="26"/>
      <c r="AL63" s="26"/>
      <c r="AM63" s="201"/>
      <c r="AN63" s="201"/>
      <c r="AO63" s="26"/>
      <c r="AP63" s="26"/>
      <c r="AQ63" s="91"/>
      <c r="AR63" s="91"/>
      <c r="AS63" s="26"/>
      <c r="AT63" s="26"/>
      <c r="AU63" s="201"/>
      <c r="AV63" s="26"/>
      <c r="AW63" s="26"/>
      <c r="AX63" s="26"/>
      <c r="AY63" s="26"/>
      <c r="AZ63" s="26"/>
      <c r="BA63" s="26"/>
      <c r="BB63" s="201"/>
      <c r="BC63" s="405"/>
      <c r="BD63" s="406"/>
    </row>
    <row r="64" spans="1:56" ht="15" customHeight="1" thickTop="1">
      <c r="A64" s="452" t="s">
        <v>62</v>
      </c>
      <c r="B64" s="426" t="s">
        <v>63</v>
      </c>
      <c r="C64" s="455" t="s">
        <v>60</v>
      </c>
      <c r="D64" s="17">
        <f t="shared" si="3"/>
        <v>7</v>
      </c>
      <c r="E64" s="17">
        <v>0</v>
      </c>
      <c r="F64" s="15" t="s">
        <v>33</v>
      </c>
      <c r="G64" s="23">
        <v>10.5</v>
      </c>
      <c r="H64" s="23">
        <f t="shared" si="2"/>
        <v>0</v>
      </c>
      <c r="I64" s="17" t="s">
        <v>34</v>
      </c>
      <c r="J64" s="407" t="s">
        <v>35</v>
      </c>
      <c r="K64" s="103"/>
      <c r="L64" s="23"/>
      <c r="M64" s="200"/>
      <c r="N64" s="200"/>
      <c r="O64" s="23"/>
      <c r="P64" s="23">
        <v>1.5</v>
      </c>
      <c r="Q64" s="23">
        <v>1.5</v>
      </c>
      <c r="R64" s="89"/>
      <c r="S64" s="89"/>
      <c r="T64" s="23">
        <v>1.5</v>
      </c>
      <c r="U64" s="23">
        <v>1.5</v>
      </c>
      <c r="V64" s="23">
        <v>1.5</v>
      </c>
      <c r="W64" s="200">
        <v>1.5</v>
      </c>
      <c r="X64" s="200">
        <v>1.5</v>
      </c>
      <c r="Y64" s="23"/>
      <c r="Z64" s="23"/>
      <c r="AA64" s="89"/>
      <c r="AB64" s="89"/>
      <c r="AC64" s="23"/>
      <c r="AD64" s="23"/>
      <c r="AE64" s="200"/>
      <c r="AF64" s="200"/>
      <c r="AG64" s="23"/>
      <c r="AH64" s="23"/>
      <c r="AI64" s="89"/>
      <c r="AJ64" s="89"/>
      <c r="AK64" s="23"/>
      <c r="AL64" s="23"/>
      <c r="AM64" s="200"/>
      <c r="AN64" s="200"/>
      <c r="AO64" s="23"/>
      <c r="AP64" s="23"/>
      <c r="AQ64" s="89"/>
      <c r="AR64" s="89"/>
      <c r="AS64" s="23"/>
      <c r="AT64" s="23"/>
      <c r="AU64" s="200"/>
      <c r="AV64" s="23"/>
      <c r="AW64" s="23"/>
      <c r="AX64" s="23"/>
      <c r="AY64" s="23"/>
      <c r="AZ64" s="23"/>
      <c r="BA64" s="23"/>
      <c r="BB64" s="200"/>
      <c r="BC64" s="403"/>
      <c r="BD64" s="404"/>
    </row>
    <row r="65" spans="1:56" ht="15" customHeight="1">
      <c r="A65" s="453"/>
      <c r="B65" s="427"/>
      <c r="C65" s="456"/>
      <c r="D65" s="5">
        <f t="shared" si="3"/>
        <v>7</v>
      </c>
      <c r="E65" s="5">
        <v>0</v>
      </c>
      <c r="F65" s="10" t="s">
        <v>36</v>
      </c>
      <c r="G65" s="24">
        <v>10.5</v>
      </c>
      <c r="H65" s="24">
        <f t="shared" si="2"/>
        <v>0</v>
      </c>
      <c r="I65" s="5" t="s">
        <v>34</v>
      </c>
      <c r="J65" s="408"/>
      <c r="K65" s="104"/>
      <c r="L65" s="24"/>
      <c r="M65" s="202"/>
      <c r="N65" s="202"/>
      <c r="O65" s="24"/>
      <c r="P65" s="24">
        <v>1.5</v>
      </c>
      <c r="Q65" s="24">
        <v>1.5</v>
      </c>
      <c r="R65" s="90"/>
      <c r="S65" s="90"/>
      <c r="T65" s="24">
        <v>1.5</v>
      </c>
      <c r="U65" s="24">
        <v>1.5</v>
      </c>
      <c r="V65" s="24">
        <v>1.5</v>
      </c>
      <c r="W65" s="202">
        <v>1.5</v>
      </c>
      <c r="X65" s="202">
        <v>1.5</v>
      </c>
      <c r="Y65" s="24"/>
      <c r="Z65" s="24"/>
      <c r="AA65" s="90"/>
      <c r="AB65" s="90"/>
      <c r="AC65" s="24"/>
      <c r="AD65" s="24"/>
      <c r="AE65" s="202"/>
      <c r="AF65" s="202"/>
      <c r="AG65" s="24"/>
      <c r="AH65" s="24"/>
      <c r="AI65" s="90"/>
      <c r="AJ65" s="90"/>
      <c r="AK65" s="24"/>
      <c r="AL65" s="24"/>
      <c r="AM65" s="202"/>
      <c r="AN65" s="202"/>
      <c r="AO65" s="24"/>
      <c r="AP65" s="24"/>
      <c r="AQ65" s="90"/>
      <c r="AR65" s="90"/>
      <c r="AS65" s="24"/>
      <c r="AT65" s="24"/>
      <c r="AU65" s="202"/>
      <c r="AV65" s="24"/>
      <c r="AW65" s="24"/>
      <c r="AX65" s="24"/>
      <c r="AY65" s="24"/>
      <c r="AZ65" s="24"/>
      <c r="BA65" s="24"/>
      <c r="BB65" s="202"/>
      <c r="BC65" s="438"/>
      <c r="BD65" s="442"/>
    </row>
    <row r="66" spans="1:56" ht="15" customHeight="1">
      <c r="A66" s="453"/>
      <c r="B66" s="427"/>
      <c r="C66" s="456"/>
      <c r="D66" s="5">
        <f t="shared" si="3"/>
        <v>3</v>
      </c>
      <c r="E66" s="5">
        <v>0</v>
      </c>
      <c r="F66" s="10" t="s">
        <v>39</v>
      </c>
      <c r="G66" s="24">
        <v>9</v>
      </c>
      <c r="H66" s="24">
        <f t="shared" si="2"/>
        <v>0</v>
      </c>
      <c r="I66" s="5">
        <v>19</v>
      </c>
      <c r="J66" s="408"/>
      <c r="K66" s="104"/>
      <c r="L66" s="24"/>
      <c r="M66" s="202"/>
      <c r="N66" s="202"/>
      <c r="O66" s="24"/>
      <c r="P66" s="24"/>
      <c r="Q66" s="24"/>
      <c r="R66" s="90"/>
      <c r="S66" s="90"/>
      <c r="T66" s="24"/>
      <c r="U66" s="24"/>
      <c r="V66" s="24"/>
      <c r="W66" s="202"/>
      <c r="X66" s="202"/>
      <c r="Y66" s="24">
        <v>3</v>
      </c>
      <c r="Z66" s="24">
        <v>3</v>
      </c>
      <c r="AA66" s="90"/>
      <c r="AB66" s="90"/>
      <c r="AC66" s="24">
        <v>3</v>
      </c>
      <c r="AD66" s="24"/>
      <c r="AE66" s="202"/>
      <c r="AF66" s="202"/>
      <c r="AG66" s="24"/>
      <c r="AH66" s="24"/>
      <c r="AI66" s="90"/>
      <c r="AJ66" s="90"/>
      <c r="AK66" s="24"/>
      <c r="AL66" s="24"/>
      <c r="AM66" s="202"/>
      <c r="AN66" s="202"/>
      <c r="AO66" s="24"/>
      <c r="AP66" s="24"/>
      <c r="AQ66" s="90"/>
      <c r="AR66" s="90"/>
      <c r="AS66" s="24"/>
      <c r="AT66" s="24"/>
      <c r="AU66" s="202"/>
      <c r="AV66" s="24"/>
      <c r="AW66" s="24"/>
      <c r="AX66" s="24"/>
      <c r="AY66" s="24"/>
      <c r="AZ66" s="24"/>
      <c r="BA66" s="24"/>
      <c r="BB66" s="202"/>
      <c r="BC66" s="438"/>
      <c r="BD66" s="442"/>
    </row>
    <row r="67" spans="1:56" ht="15" customHeight="1">
      <c r="A67" s="453"/>
      <c r="B67" s="427"/>
      <c r="C67" s="456"/>
      <c r="D67" s="5">
        <f t="shared" si="3"/>
        <v>7</v>
      </c>
      <c r="E67" s="5">
        <v>1</v>
      </c>
      <c r="F67" s="10" t="s">
        <v>33</v>
      </c>
      <c r="G67" s="24">
        <v>10.5</v>
      </c>
      <c r="H67" s="24">
        <f t="shared" si="2"/>
        <v>0</v>
      </c>
      <c r="I67" s="5" t="s">
        <v>34</v>
      </c>
      <c r="J67" s="408" t="s">
        <v>37</v>
      </c>
      <c r="K67" s="104"/>
      <c r="L67" s="24"/>
      <c r="M67" s="202"/>
      <c r="N67" s="202"/>
      <c r="O67" s="24"/>
      <c r="P67" s="24">
        <v>1.5</v>
      </c>
      <c r="Q67" s="24">
        <v>1.5</v>
      </c>
      <c r="R67" s="90"/>
      <c r="S67" s="90"/>
      <c r="T67" s="24">
        <v>1.5</v>
      </c>
      <c r="U67" s="24">
        <v>1.5</v>
      </c>
      <c r="V67" s="24">
        <v>1.5</v>
      </c>
      <c r="W67" s="202"/>
      <c r="X67" s="202"/>
      <c r="Y67" s="24">
        <v>1.5</v>
      </c>
      <c r="Z67" s="24">
        <v>1.5</v>
      </c>
      <c r="AA67" s="90"/>
      <c r="AB67" s="90"/>
      <c r="AC67" s="24"/>
      <c r="AD67" s="24"/>
      <c r="AE67" s="202"/>
      <c r="AF67" s="202"/>
      <c r="AG67" s="24"/>
      <c r="AH67" s="24"/>
      <c r="AI67" s="90"/>
      <c r="AJ67" s="90"/>
      <c r="AK67" s="24"/>
      <c r="AL67" s="24"/>
      <c r="AM67" s="202"/>
      <c r="AN67" s="202"/>
      <c r="AO67" s="24"/>
      <c r="AP67" s="24"/>
      <c r="AQ67" s="90"/>
      <c r="AR67" s="90"/>
      <c r="AS67" s="24"/>
      <c r="AT67" s="24"/>
      <c r="AU67" s="202"/>
      <c r="AV67" s="24"/>
      <c r="AW67" s="24"/>
      <c r="AX67" s="24"/>
      <c r="AY67" s="24"/>
      <c r="AZ67" s="24"/>
      <c r="BA67" s="24"/>
      <c r="BB67" s="202"/>
      <c r="BC67" s="438"/>
      <c r="BD67" s="442"/>
    </row>
    <row r="68" spans="1:56" ht="15" customHeight="1">
      <c r="A68" s="453"/>
      <c r="B68" s="427"/>
      <c r="C68" s="456"/>
      <c r="D68" s="5">
        <f t="shared" si="3"/>
        <v>7</v>
      </c>
      <c r="E68" s="5">
        <v>1</v>
      </c>
      <c r="F68" s="10" t="s">
        <v>36</v>
      </c>
      <c r="G68" s="24">
        <v>10.5</v>
      </c>
      <c r="H68" s="24">
        <f t="shared" si="2"/>
        <v>0</v>
      </c>
      <c r="I68" s="5" t="s">
        <v>34</v>
      </c>
      <c r="J68" s="408"/>
      <c r="K68" s="104"/>
      <c r="L68" s="24"/>
      <c r="M68" s="202"/>
      <c r="N68" s="202"/>
      <c r="O68" s="24"/>
      <c r="P68" s="24">
        <v>1.5</v>
      </c>
      <c r="Q68" s="24">
        <v>1.5</v>
      </c>
      <c r="R68" s="90"/>
      <c r="S68" s="90"/>
      <c r="T68" s="24">
        <v>1.5</v>
      </c>
      <c r="U68" s="24">
        <v>1.5</v>
      </c>
      <c r="V68" s="24">
        <v>1.5</v>
      </c>
      <c r="W68" s="202"/>
      <c r="X68" s="202"/>
      <c r="Y68" s="24">
        <v>1.5</v>
      </c>
      <c r="Z68" s="24">
        <v>1.5</v>
      </c>
      <c r="AA68" s="90"/>
      <c r="AB68" s="90"/>
      <c r="AC68" s="24"/>
      <c r="AD68" s="24"/>
      <c r="AE68" s="202"/>
      <c r="AF68" s="202"/>
      <c r="AG68" s="24"/>
      <c r="AH68" s="24"/>
      <c r="AI68" s="90"/>
      <c r="AJ68" s="90"/>
      <c r="AK68" s="24"/>
      <c r="AL68" s="24"/>
      <c r="AM68" s="202"/>
      <c r="AN68" s="202"/>
      <c r="AO68" s="24"/>
      <c r="AP68" s="24"/>
      <c r="AQ68" s="90"/>
      <c r="AR68" s="90"/>
      <c r="AS68" s="24"/>
      <c r="AT68" s="24"/>
      <c r="AU68" s="202"/>
      <c r="AV68" s="24"/>
      <c r="AW68" s="24"/>
      <c r="AX68" s="24"/>
      <c r="AY68" s="24"/>
      <c r="AZ68" s="24"/>
      <c r="BA68" s="24"/>
      <c r="BB68" s="202"/>
      <c r="BC68" s="438"/>
      <c r="BD68" s="442"/>
    </row>
    <row r="69" spans="1:56" ht="15" customHeight="1" thickBot="1">
      <c r="A69" s="454"/>
      <c r="B69" s="428"/>
      <c r="C69" s="457"/>
      <c r="D69" s="18">
        <f t="shared" si="3"/>
        <v>2</v>
      </c>
      <c r="E69" s="18">
        <v>1</v>
      </c>
      <c r="F69" s="16" t="s">
        <v>39</v>
      </c>
      <c r="G69" s="26">
        <v>9</v>
      </c>
      <c r="H69" s="26">
        <f t="shared" si="2"/>
        <v>0</v>
      </c>
      <c r="I69" s="18">
        <v>19</v>
      </c>
      <c r="J69" s="412"/>
      <c r="K69" s="106"/>
      <c r="L69" s="26"/>
      <c r="M69" s="201"/>
      <c r="N69" s="201"/>
      <c r="O69" s="26"/>
      <c r="P69" s="26"/>
      <c r="Q69" s="26"/>
      <c r="R69" s="91"/>
      <c r="S69" s="91"/>
      <c r="T69" s="26"/>
      <c r="U69" s="26"/>
      <c r="V69" s="26"/>
      <c r="W69" s="201"/>
      <c r="X69" s="201"/>
      <c r="Y69" s="26"/>
      <c r="Z69" s="26"/>
      <c r="AA69" s="91"/>
      <c r="AB69" s="91"/>
      <c r="AC69" s="26">
        <v>3</v>
      </c>
      <c r="AD69" s="26">
        <v>6</v>
      </c>
      <c r="AE69" s="201"/>
      <c r="AF69" s="201"/>
      <c r="AG69" s="26"/>
      <c r="AH69" s="26"/>
      <c r="AI69" s="91"/>
      <c r="AJ69" s="91"/>
      <c r="AK69" s="26"/>
      <c r="AL69" s="26"/>
      <c r="AM69" s="201"/>
      <c r="AN69" s="201"/>
      <c r="AO69" s="26"/>
      <c r="AP69" s="26"/>
      <c r="AQ69" s="91"/>
      <c r="AR69" s="91"/>
      <c r="AS69" s="26"/>
      <c r="AT69" s="26"/>
      <c r="AU69" s="201"/>
      <c r="AV69" s="26"/>
      <c r="AW69" s="26"/>
      <c r="AX69" s="26"/>
      <c r="AY69" s="26"/>
      <c r="AZ69" s="26"/>
      <c r="BA69" s="26"/>
      <c r="BB69" s="201"/>
      <c r="BC69" s="405"/>
      <c r="BD69" s="406"/>
    </row>
    <row r="70" spans="1:56" ht="15" customHeight="1" thickTop="1">
      <c r="A70" s="452" t="s">
        <v>64</v>
      </c>
      <c r="B70" s="426" t="s">
        <v>65</v>
      </c>
      <c r="C70" s="429" t="s">
        <v>66</v>
      </c>
      <c r="D70" s="17">
        <f t="shared" si="3"/>
        <v>3</v>
      </c>
      <c r="E70" s="17">
        <v>0</v>
      </c>
      <c r="F70" s="15" t="s">
        <v>33</v>
      </c>
      <c r="G70" s="23">
        <v>4.5</v>
      </c>
      <c r="H70" s="23">
        <f t="shared" ref="H70:H107" si="4">G70-SUM(K70:BA70)</f>
        <v>0</v>
      </c>
      <c r="I70" s="17" t="s">
        <v>34</v>
      </c>
      <c r="J70" s="407" t="s">
        <v>35</v>
      </c>
      <c r="K70" s="103"/>
      <c r="L70" s="23">
        <v>1.5</v>
      </c>
      <c r="M70" s="200">
        <v>1.5</v>
      </c>
      <c r="N70" s="200">
        <v>1.5</v>
      </c>
      <c r="O70" s="23"/>
      <c r="P70" s="23"/>
      <c r="Q70" s="23"/>
      <c r="R70" s="89"/>
      <c r="S70" s="89"/>
      <c r="T70" s="23"/>
      <c r="U70" s="23"/>
      <c r="V70" s="23"/>
      <c r="W70" s="200"/>
      <c r="X70" s="200"/>
      <c r="Y70" s="23"/>
      <c r="Z70" s="23"/>
      <c r="AA70" s="89"/>
      <c r="AB70" s="89"/>
      <c r="AC70" s="23"/>
      <c r="AD70" s="23"/>
      <c r="AE70" s="200"/>
      <c r="AF70" s="200"/>
      <c r="AG70" s="23"/>
      <c r="AH70" s="23"/>
      <c r="AI70" s="89"/>
      <c r="AJ70" s="89"/>
      <c r="AK70" s="23"/>
      <c r="AL70" s="23"/>
      <c r="AM70" s="200"/>
      <c r="AN70" s="200"/>
      <c r="AO70" s="23"/>
      <c r="AP70" s="23"/>
      <c r="AQ70" s="89"/>
      <c r="AR70" s="89"/>
      <c r="AS70" s="23"/>
      <c r="AT70" s="23"/>
      <c r="AU70" s="200"/>
      <c r="AV70" s="23"/>
      <c r="AW70" s="23"/>
      <c r="AX70" s="23"/>
      <c r="AY70" s="23"/>
      <c r="AZ70" s="23"/>
      <c r="BA70" s="23"/>
      <c r="BB70" s="200"/>
      <c r="BC70" s="403" t="s">
        <v>67</v>
      </c>
      <c r="BD70" s="404"/>
    </row>
    <row r="71" spans="1:56" ht="15" customHeight="1">
      <c r="A71" s="453"/>
      <c r="B71" s="427"/>
      <c r="C71" s="430"/>
      <c r="D71" s="5">
        <f t="shared" si="3"/>
        <v>3</v>
      </c>
      <c r="E71" s="5">
        <v>0</v>
      </c>
      <c r="F71" s="10" t="s">
        <v>36</v>
      </c>
      <c r="G71" s="24">
        <v>4.5</v>
      </c>
      <c r="H71" s="24">
        <f t="shared" si="4"/>
        <v>0</v>
      </c>
      <c r="I71" s="5" t="s">
        <v>34</v>
      </c>
      <c r="J71" s="408"/>
      <c r="K71" s="104"/>
      <c r="L71" s="24"/>
      <c r="M71" s="202"/>
      <c r="N71" s="202"/>
      <c r="O71" s="24">
        <v>1.5</v>
      </c>
      <c r="P71" s="24">
        <v>1.5</v>
      </c>
      <c r="Q71" s="24">
        <v>1.5</v>
      </c>
      <c r="R71" s="90"/>
      <c r="S71" s="90"/>
      <c r="T71" s="24"/>
      <c r="U71" s="24"/>
      <c r="V71" s="24"/>
      <c r="W71" s="202"/>
      <c r="X71" s="202"/>
      <c r="Y71" s="24"/>
      <c r="Z71" s="24"/>
      <c r="AA71" s="90"/>
      <c r="AB71" s="90"/>
      <c r="AC71" s="24"/>
      <c r="AD71" s="24"/>
      <c r="AE71" s="202"/>
      <c r="AF71" s="202"/>
      <c r="AG71" s="24"/>
      <c r="AH71" s="24"/>
      <c r="AI71" s="90"/>
      <c r="AJ71" s="90"/>
      <c r="AK71" s="24"/>
      <c r="AL71" s="24"/>
      <c r="AM71" s="202"/>
      <c r="AN71" s="202"/>
      <c r="AO71" s="24"/>
      <c r="AP71" s="24"/>
      <c r="AQ71" s="90"/>
      <c r="AR71" s="90"/>
      <c r="AS71" s="24"/>
      <c r="AT71" s="24"/>
      <c r="AU71" s="202"/>
      <c r="AV71" s="24"/>
      <c r="AW71" s="24"/>
      <c r="AX71" s="24"/>
      <c r="AY71" s="24"/>
      <c r="AZ71" s="24"/>
      <c r="BA71" s="24"/>
      <c r="BB71" s="202"/>
      <c r="BC71" s="438"/>
      <c r="BD71" s="442"/>
    </row>
    <row r="72" spans="1:56" ht="15" customHeight="1">
      <c r="A72" s="453"/>
      <c r="B72" s="427"/>
      <c r="C72" s="430"/>
      <c r="D72" s="5">
        <f t="shared" ref="D72:D107" si="5">COUNT(K72:BA72)</f>
        <v>7</v>
      </c>
      <c r="E72" s="10">
        <v>0</v>
      </c>
      <c r="F72" s="11" t="s">
        <v>39</v>
      </c>
      <c r="G72" s="24">
        <v>16</v>
      </c>
      <c r="H72" s="24">
        <f t="shared" si="4"/>
        <v>2</v>
      </c>
      <c r="I72" s="5" t="s">
        <v>34</v>
      </c>
      <c r="J72" s="408"/>
      <c r="K72" s="104"/>
      <c r="L72" s="24"/>
      <c r="M72" s="202"/>
      <c r="N72" s="202"/>
      <c r="O72" s="24"/>
      <c r="P72" s="24"/>
      <c r="Q72" s="24"/>
      <c r="R72" s="90"/>
      <c r="S72" s="90"/>
      <c r="T72" s="24">
        <v>2</v>
      </c>
      <c r="U72" s="24">
        <v>2</v>
      </c>
      <c r="V72" s="24">
        <v>2</v>
      </c>
      <c r="W72" s="202">
        <v>2</v>
      </c>
      <c r="X72" s="202">
        <v>2</v>
      </c>
      <c r="Y72" s="24">
        <v>2</v>
      </c>
      <c r="Z72" s="24">
        <v>2</v>
      </c>
      <c r="AA72" s="90"/>
      <c r="AB72" s="90"/>
      <c r="AC72" s="24"/>
      <c r="AD72" s="24"/>
      <c r="AE72" s="202"/>
      <c r="AF72" s="202"/>
      <c r="AG72" s="24"/>
      <c r="AH72" s="24"/>
      <c r="AI72" s="90"/>
      <c r="AJ72" s="90"/>
      <c r="AK72" s="24"/>
      <c r="AL72" s="24"/>
      <c r="AM72" s="202"/>
      <c r="AN72" s="202"/>
      <c r="AO72" s="24"/>
      <c r="AP72" s="24"/>
      <c r="AQ72" s="90"/>
      <c r="AR72" s="90"/>
      <c r="AS72" s="24"/>
      <c r="AT72" s="24"/>
      <c r="AU72" s="202"/>
      <c r="AV72" s="24"/>
      <c r="AW72" s="24"/>
      <c r="AX72" s="24"/>
      <c r="AY72" s="24"/>
      <c r="AZ72" s="24"/>
      <c r="BA72" s="24"/>
      <c r="BB72" s="202"/>
      <c r="BC72" s="438"/>
      <c r="BD72" s="442"/>
    </row>
    <row r="73" spans="1:56" ht="15" customHeight="1">
      <c r="A73" s="453"/>
      <c r="B73" s="427"/>
      <c r="C73" s="291" t="s">
        <v>38</v>
      </c>
      <c r="D73" s="5">
        <f t="shared" si="5"/>
        <v>1</v>
      </c>
      <c r="E73" s="5">
        <v>0</v>
      </c>
      <c r="F73" s="10" t="s">
        <v>39</v>
      </c>
      <c r="G73" s="24">
        <v>3</v>
      </c>
      <c r="H73" s="24">
        <f t="shared" si="4"/>
        <v>0</v>
      </c>
      <c r="I73" s="5">
        <v>123</v>
      </c>
      <c r="J73" s="408"/>
      <c r="K73" s="104"/>
      <c r="L73" s="24"/>
      <c r="M73" s="202"/>
      <c r="N73" s="202">
        <v>3</v>
      </c>
      <c r="O73" s="24"/>
      <c r="P73" s="24"/>
      <c r="Q73" s="24"/>
      <c r="R73" s="90"/>
      <c r="S73" s="90"/>
      <c r="T73" s="24"/>
      <c r="U73" s="24"/>
      <c r="V73" s="24"/>
      <c r="W73" s="202"/>
      <c r="X73" s="202"/>
      <c r="Y73" s="24"/>
      <c r="Z73" s="24"/>
      <c r="AA73" s="90"/>
      <c r="AB73" s="90"/>
      <c r="AC73" s="24"/>
      <c r="AD73" s="24"/>
      <c r="AE73" s="202"/>
      <c r="AF73" s="202"/>
      <c r="AG73" s="24"/>
      <c r="AH73" s="24"/>
      <c r="AI73" s="90"/>
      <c r="AJ73" s="90"/>
      <c r="AK73" s="24"/>
      <c r="AL73" s="24"/>
      <c r="AM73" s="202"/>
      <c r="AN73" s="202"/>
      <c r="AO73" s="24"/>
      <c r="AP73" s="24"/>
      <c r="AQ73" s="90"/>
      <c r="AR73" s="90"/>
      <c r="AS73" s="24"/>
      <c r="AT73" s="24"/>
      <c r="AU73" s="202"/>
      <c r="AV73" s="24"/>
      <c r="AW73" s="24"/>
      <c r="AX73" s="24"/>
      <c r="AY73" s="24"/>
      <c r="AZ73" s="24"/>
      <c r="BA73" s="24"/>
      <c r="BB73" s="202"/>
      <c r="BC73" s="438"/>
      <c r="BD73" s="442"/>
    </row>
    <row r="74" spans="1:56" ht="15" customHeight="1">
      <c r="A74" s="453"/>
      <c r="B74" s="427"/>
      <c r="C74" s="438" t="s">
        <v>66</v>
      </c>
      <c r="D74" s="5">
        <f t="shared" si="5"/>
        <v>3</v>
      </c>
      <c r="E74" s="5">
        <v>1</v>
      </c>
      <c r="F74" s="10" t="s">
        <v>33</v>
      </c>
      <c r="G74" s="24">
        <v>4.5</v>
      </c>
      <c r="H74" s="24">
        <f t="shared" si="4"/>
        <v>0</v>
      </c>
      <c r="I74" s="5" t="s">
        <v>34</v>
      </c>
      <c r="J74" s="408" t="s">
        <v>37</v>
      </c>
      <c r="K74" s="104">
        <v>1.5</v>
      </c>
      <c r="L74" s="24">
        <v>1.5</v>
      </c>
      <c r="M74" s="202"/>
      <c r="N74" s="202"/>
      <c r="O74" s="24">
        <v>1.5</v>
      </c>
      <c r="P74" s="24"/>
      <c r="Q74" s="24"/>
      <c r="R74" s="90"/>
      <c r="S74" s="90"/>
      <c r="T74" s="24"/>
      <c r="U74" s="24"/>
      <c r="V74" s="24"/>
      <c r="W74" s="202"/>
      <c r="X74" s="202"/>
      <c r="Y74" s="24"/>
      <c r="Z74" s="24"/>
      <c r="AA74" s="90"/>
      <c r="AB74" s="90"/>
      <c r="AC74" s="24"/>
      <c r="AD74" s="24"/>
      <c r="AE74" s="202"/>
      <c r="AF74" s="202"/>
      <c r="AG74" s="24"/>
      <c r="AH74" s="24"/>
      <c r="AI74" s="90"/>
      <c r="AJ74" s="90"/>
      <c r="AK74" s="24"/>
      <c r="AL74" s="24"/>
      <c r="AM74" s="202"/>
      <c r="AN74" s="202"/>
      <c r="AO74" s="24"/>
      <c r="AP74" s="24"/>
      <c r="AQ74" s="90"/>
      <c r="AR74" s="90"/>
      <c r="AS74" s="24"/>
      <c r="AT74" s="24"/>
      <c r="AU74" s="202"/>
      <c r="AV74" s="24"/>
      <c r="AW74" s="24"/>
      <c r="AX74" s="24"/>
      <c r="AY74" s="24"/>
      <c r="AZ74" s="24"/>
      <c r="BA74" s="24"/>
      <c r="BB74" s="202"/>
      <c r="BC74" s="438"/>
      <c r="BD74" s="442"/>
    </row>
    <row r="75" spans="1:56" ht="15" customHeight="1">
      <c r="A75" s="453"/>
      <c r="B75" s="427"/>
      <c r="C75" s="438"/>
      <c r="D75" s="5">
        <f t="shared" si="5"/>
        <v>3</v>
      </c>
      <c r="E75" s="5">
        <v>1</v>
      </c>
      <c r="F75" s="10" t="s">
        <v>36</v>
      </c>
      <c r="G75" s="24">
        <v>4.5</v>
      </c>
      <c r="H75" s="24">
        <f t="shared" si="4"/>
        <v>0</v>
      </c>
      <c r="I75" s="5" t="s">
        <v>34</v>
      </c>
      <c r="J75" s="408"/>
      <c r="K75" s="104"/>
      <c r="L75" s="24"/>
      <c r="M75" s="202"/>
      <c r="N75" s="202"/>
      <c r="O75" s="24"/>
      <c r="P75" s="24">
        <v>1.5</v>
      </c>
      <c r="Q75" s="24">
        <v>1.5</v>
      </c>
      <c r="R75" s="90"/>
      <c r="S75" s="90"/>
      <c r="T75" s="24">
        <v>1.5</v>
      </c>
      <c r="U75" s="24"/>
      <c r="V75" s="24"/>
      <c r="W75" s="202"/>
      <c r="X75" s="202"/>
      <c r="Y75" s="24"/>
      <c r="Z75" s="24"/>
      <c r="AA75" s="90"/>
      <c r="AB75" s="90"/>
      <c r="AC75" s="24"/>
      <c r="AD75" s="24"/>
      <c r="AE75" s="202"/>
      <c r="AF75" s="202"/>
      <c r="AG75" s="24"/>
      <c r="AH75" s="24"/>
      <c r="AI75" s="90"/>
      <c r="AJ75" s="90"/>
      <c r="AK75" s="24"/>
      <c r="AL75" s="24"/>
      <c r="AM75" s="202"/>
      <c r="AN75" s="202"/>
      <c r="AO75" s="24"/>
      <c r="AP75" s="24"/>
      <c r="AQ75" s="90"/>
      <c r="AR75" s="90"/>
      <c r="AS75" s="24"/>
      <c r="AT75" s="24"/>
      <c r="AU75" s="202"/>
      <c r="AV75" s="24"/>
      <c r="AW75" s="24"/>
      <c r="AX75" s="24"/>
      <c r="AY75" s="24"/>
      <c r="AZ75" s="24"/>
      <c r="BA75" s="24"/>
      <c r="BB75" s="202"/>
      <c r="BC75" s="438"/>
      <c r="BD75" s="442"/>
    </row>
    <row r="76" spans="1:56" ht="15" customHeight="1">
      <c r="A76" s="453"/>
      <c r="B76" s="427"/>
      <c r="C76" s="438"/>
      <c r="D76" s="5">
        <f t="shared" si="5"/>
        <v>6</v>
      </c>
      <c r="E76" s="5">
        <v>1</v>
      </c>
      <c r="F76" s="10" t="s">
        <v>39</v>
      </c>
      <c r="G76" s="24">
        <v>16</v>
      </c>
      <c r="H76" s="24">
        <f t="shared" si="4"/>
        <v>0</v>
      </c>
      <c r="I76" s="5" t="s">
        <v>34</v>
      </c>
      <c r="J76" s="408"/>
      <c r="K76" s="104"/>
      <c r="L76" s="24"/>
      <c r="M76" s="202"/>
      <c r="N76" s="202"/>
      <c r="O76" s="24"/>
      <c r="P76" s="24"/>
      <c r="Q76" s="24"/>
      <c r="R76" s="90"/>
      <c r="S76" s="90"/>
      <c r="T76" s="24"/>
      <c r="U76" s="24">
        <v>2</v>
      </c>
      <c r="V76" s="24">
        <v>2</v>
      </c>
      <c r="W76" s="202"/>
      <c r="X76" s="202"/>
      <c r="Y76" s="24">
        <v>2</v>
      </c>
      <c r="Z76" s="24">
        <v>2</v>
      </c>
      <c r="AA76" s="90"/>
      <c r="AB76" s="90"/>
      <c r="AC76" s="24">
        <v>4</v>
      </c>
      <c r="AD76" s="24">
        <v>4</v>
      </c>
      <c r="AE76" s="202"/>
      <c r="AF76" s="202"/>
      <c r="AG76" s="24"/>
      <c r="AH76" s="24"/>
      <c r="AI76" s="90"/>
      <c r="AJ76" s="90"/>
      <c r="AK76" s="24"/>
      <c r="AL76" s="24"/>
      <c r="AM76" s="202"/>
      <c r="AN76" s="202"/>
      <c r="AO76" s="24"/>
      <c r="AP76" s="24"/>
      <c r="AQ76" s="90"/>
      <c r="AR76" s="90"/>
      <c r="AS76" s="24"/>
      <c r="AT76" s="24"/>
      <c r="AU76" s="202"/>
      <c r="AV76" s="24"/>
      <c r="AW76" s="24"/>
      <c r="AX76" s="24"/>
      <c r="AY76" s="24"/>
      <c r="AZ76" s="24"/>
      <c r="BA76" s="24"/>
      <c r="BB76" s="202"/>
      <c r="BC76" s="438"/>
      <c r="BD76" s="442"/>
    </row>
    <row r="77" spans="1:56" ht="15" customHeight="1" thickBot="1">
      <c r="A77" s="454"/>
      <c r="B77" s="428"/>
      <c r="C77" s="293" t="s">
        <v>38</v>
      </c>
      <c r="D77" s="18">
        <f t="shared" si="5"/>
        <v>1</v>
      </c>
      <c r="E77" s="18">
        <v>1</v>
      </c>
      <c r="F77" s="16" t="s">
        <v>39</v>
      </c>
      <c r="G77" s="26">
        <v>3</v>
      </c>
      <c r="H77" s="26">
        <f t="shared" si="4"/>
        <v>0</v>
      </c>
      <c r="I77" s="18">
        <v>123</v>
      </c>
      <c r="J77" s="412"/>
      <c r="K77" s="106"/>
      <c r="L77" s="26"/>
      <c r="M77" s="201"/>
      <c r="N77" s="201"/>
      <c r="O77" s="26"/>
      <c r="P77" s="26">
        <v>3</v>
      </c>
      <c r="Q77" s="26"/>
      <c r="R77" s="91"/>
      <c r="S77" s="91"/>
      <c r="T77" s="26"/>
      <c r="U77" s="26"/>
      <c r="V77" s="26"/>
      <c r="W77" s="201"/>
      <c r="X77" s="201"/>
      <c r="Y77" s="26"/>
      <c r="Z77" s="26"/>
      <c r="AA77" s="91"/>
      <c r="AB77" s="91"/>
      <c r="AC77" s="26"/>
      <c r="AD77" s="26"/>
      <c r="AE77" s="201"/>
      <c r="AF77" s="201"/>
      <c r="AG77" s="26"/>
      <c r="AH77" s="26"/>
      <c r="AI77" s="91"/>
      <c r="AJ77" s="91"/>
      <c r="AK77" s="26"/>
      <c r="AL77" s="26"/>
      <c r="AM77" s="201"/>
      <c r="AN77" s="201"/>
      <c r="AO77" s="26"/>
      <c r="AP77" s="26"/>
      <c r="AQ77" s="91"/>
      <c r="AR77" s="91"/>
      <c r="AS77" s="26"/>
      <c r="AT77" s="26"/>
      <c r="AU77" s="201"/>
      <c r="AV77" s="26"/>
      <c r="AW77" s="26"/>
      <c r="AX77" s="26"/>
      <c r="AY77" s="26"/>
      <c r="AZ77" s="26"/>
      <c r="BA77" s="26"/>
      <c r="BB77" s="201"/>
      <c r="BC77" s="405"/>
      <c r="BD77" s="406"/>
    </row>
    <row r="78" spans="1:56" ht="15" customHeight="1" thickTop="1">
      <c r="A78" s="452" t="s">
        <v>68</v>
      </c>
      <c r="B78" s="426" t="s">
        <v>69</v>
      </c>
      <c r="C78" s="455" t="s">
        <v>70</v>
      </c>
      <c r="D78" s="17">
        <f t="shared" si="5"/>
        <v>6</v>
      </c>
      <c r="E78" s="17">
        <v>0</v>
      </c>
      <c r="F78" s="15" t="s">
        <v>36</v>
      </c>
      <c r="G78" s="23">
        <v>9</v>
      </c>
      <c r="H78" s="23">
        <f t="shared" si="4"/>
        <v>0</v>
      </c>
      <c r="I78" s="17" t="s">
        <v>34</v>
      </c>
      <c r="J78" s="407" t="s">
        <v>35</v>
      </c>
      <c r="K78" s="103">
        <v>1.5</v>
      </c>
      <c r="L78" s="23">
        <v>1.5</v>
      </c>
      <c r="M78" s="200">
        <v>1.5</v>
      </c>
      <c r="N78" s="200">
        <v>1.5</v>
      </c>
      <c r="O78" s="23">
        <v>1.5</v>
      </c>
      <c r="P78" s="23">
        <v>1.5</v>
      </c>
      <c r="Q78" s="23"/>
      <c r="R78" s="89"/>
      <c r="S78" s="89"/>
      <c r="T78" s="23"/>
      <c r="U78" s="23"/>
      <c r="V78" s="23"/>
      <c r="W78" s="200"/>
      <c r="X78" s="200"/>
      <c r="Y78" s="23"/>
      <c r="Z78" s="23"/>
      <c r="AA78" s="89"/>
      <c r="AB78" s="89"/>
      <c r="AC78" s="23"/>
      <c r="AD78" s="23"/>
      <c r="AE78" s="200"/>
      <c r="AF78" s="200"/>
      <c r="AG78" s="23"/>
      <c r="AH78" s="23"/>
      <c r="AI78" s="89"/>
      <c r="AJ78" s="89"/>
      <c r="AK78" s="23"/>
      <c r="AL78" s="23"/>
      <c r="AM78" s="200"/>
      <c r="AN78" s="200"/>
      <c r="AO78" s="23"/>
      <c r="AP78" s="23"/>
      <c r="AQ78" s="89"/>
      <c r="AR78" s="89"/>
      <c r="AS78" s="23"/>
      <c r="AT78" s="23"/>
      <c r="AU78" s="200"/>
      <c r="AV78" s="23"/>
      <c r="AW78" s="23"/>
      <c r="AX78" s="23"/>
      <c r="AY78" s="23"/>
      <c r="AZ78" s="23"/>
      <c r="BA78" s="23"/>
      <c r="BB78" s="200"/>
      <c r="BC78" s="403"/>
      <c r="BD78" s="404"/>
    </row>
    <row r="79" spans="1:56" ht="15" customHeight="1">
      <c r="A79" s="453"/>
      <c r="B79" s="427"/>
      <c r="C79" s="456"/>
      <c r="D79" s="5">
        <f t="shared" si="5"/>
        <v>10</v>
      </c>
      <c r="E79" s="5">
        <v>0</v>
      </c>
      <c r="F79" s="10" t="s">
        <v>39</v>
      </c>
      <c r="G79" s="24">
        <v>15</v>
      </c>
      <c r="H79" s="24">
        <f t="shared" si="4"/>
        <v>0</v>
      </c>
      <c r="I79" s="5" t="s">
        <v>34</v>
      </c>
      <c r="J79" s="408"/>
      <c r="K79" s="104"/>
      <c r="L79" s="24"/>
      <c r="M79" s="202"/>
      <c r="N79" s="202"/>
      <c r="O79" s="24"/>
      <c r="P79" s="24"/>
      <c r="Q79" s="24">
        <v>1.5</v>
      </c>
      <c r="R79" s="90"/>
      <c r="S79" s="90"/>
      <c r="T79" s="24">
        <v>1.5</v>
      </c>
      <c r="U79" s="24">
        <v>1.5</v>
      </c>
      <c r="V79" s="24">
        <v>1.5</v>
      </c>
      <c r="W79" s="202">
        <v>1.5</v>
      </c>
      <c r="X79" s="202">
        <v>1.5</v>
      </c>
      <c r="Y79" s="24">
        <v>1.5</v>
      </c>
      <c r="Z79" s="24">
        <v>1.5</v>
      </c>
      <c r="AA79" s="90"/>
      <c r="AB79" s="90"/>
      <c r="AC79" s="24">
        <v>1.5</v>
      </c>
      <c r="AD79" s="24">
        <v>1.5</v>
      </c>
      <c r="AE79" s="202"/>
      <c r="AF79" s="202"/>
      <c r="AG79" s="24"/>
      <c r="AH79" s="24"/>
      <c r="AI79" s="90"/>
      <c r="AJ79" s="90"/>
      <c r="AK79" s="24"/>
      <c r="AL79" s="24"/>
      <c r="AM79" s="202"/>
      <c r="AN79" s="202"/>
      <c r="AO79" s="24"/>
      <c r="AP79" s="24"/>
      <c r="AQ79" s="90"/>
      <c r="AR79" s="90"/>
      <c r="AS79" s="24"/>
      <c r="AT79" s="24"/>
      <c r="AU79" s="202"/>
      <c r="AV79" s="24"/>
      <c r="AW79" s="24"/>
      <c r="AX79" s="24"/>
      <c r="AY79" s="24"/>
      <c r="AZ79" s="24"/>
      <c r="BA79" s="24"/>
      <c r="BB79" s="202"/>
      <c r="BC79" s="438"/>
      <c r="BD79" s="442"/>
    </row>
    <row r="80" spans="1:56" ht="15" customHeight="1">
      <c r="A80" s="453"/>
      <c r="B80" s="427"/>
      <c r="C80" s="456"/>
      <c r="D80" s="5">
        <f t="shared" si="5"/>
        <v>6</v>
      </c>
      <c r="E80" s="5">
        <v>1</v>
      </c>
      <c r="F80" s="10" t="s">
        <v>36</v>
      </c>
      <c r="G80" s="24">
        <v>9</v>
      </c>
      <c r="H80" s="24">
        <f t="shared" si="4"/>
        <v>0</v>
      </c>
      <c r="I80" s="5" t="s">
        <v>34</v>
      </c>
      <c r="J80" s="408" t="s">
        <v>37</v>
      </c>
      <c r="K80" s="104">
        <v>1.5</v>
      </c>
      <c r="L80" s="24">
        <v>1.5</v>
      </c>
      <c r="M80" s="202"/>
      <c r="N80" s="202"/>
      <c r="O80" s="24">
        <v>1.5</v>
      </c>
      <c r="P80" s="24">
        <v>1.5</v>
      </c>
      <c r="Q80" s="24">
        <v>1.5</v>
      </c>
      <c r="R80" s="90"/>
      <c r="S80" s="90"/>
      <c r="T80" s="24">
        <v>1.5</v>
      </c>
      <c r="U80" s="24"/>
      <c r="V80" s="24"/>
      <c r="W80" s="202"/>
      <c r="X80" s="202"/>
      <c r="Y80" s="24"/>
      <c r="Z80" s="24"/>
      <c r="AA80" s="90"/>
      <c r="AB80" s="90"/>
      <c r="AC80" s="24"/>
      <c r="AD80" s="24"/>
      <c r="AE80" s="202"/>
      <c r="AF80" s="202"/>
      <c r="AG80" s="24"/>
      <c r="AH80" s="24"/>
      <c r="AI80" s="90"/>
      <c r="AJ80" s="90"/>
      <c r="AK80" s="24"/>
      <c r="AL80" s="24"/>
      <c r="AM80" s="202"/>
      <c r="AN80" s="202"/>
      <c r="AO80" s="24"/>
      <c r="AP80" s="24"/>
      <c r="AQ80" s="90"/>
      <c r="AR80" s="90"/>
      <c r="AS80" s="24"/>
      <c r="AT80" s="24"/>
      <c r="AU80" s="202"/>
      <c r="AV80" s="24"/>
      <c r="AW80" s="24"/>
      <c r="AX80" s="24"/>
      <c r="AY80" s="24"/>
      <c r="AZ80" s="24"/>
      <c r="BA80" s="24"/>
      <c r="BB80" s="202"/>
      <c r="BC80" s="438"/>
      <c r="BD80" s="442"/>
    </row>
    <row r="81" spans="1:56" ht="15" customHeight="1" thickBot="1">
      <c r="A81" s="454"/>
      <c r="B81" s="428"/>
      <c r="C81" s="476"/>
      <c r="D81" s="13">
        <f t="shared" si="5"/>
        <v>7</v>
      </c>
      <c r="E81" s="13">
        <v>1</v>
      </c>
      <c r="F81" s="12" t="s">
        <v>39</v>
      </c>
      <c r="G81" s="30">
        <v>15</v>
      </c>
      <c r="H81" s="30">
        <f t="shared" si="4"/>
        <v>0</v>
      </c>
      <c r="I81" s="13" t="s">
        <v>34</v>
      </c>
      <c r="J81" s="443"/>
      <c r="K81" s="294"/>
      <c r="L81" s="30"/>
      <c r="M81" s="295"/>
      <c r="N81" s="295"/>
      <c r="O81" s="30"/>
      <c r="P81" s="30"/>
      <c r="Q81" s="30"/>
      <c r="R81" s="296"/>
      <c r="S81" s="296"/>
      <c r="T81" s="30">
        <v>1.5</v>
      </c>
      <c r="U81" s="30">
        <v>3</v>
      </c>
      <c r="V81" s="30">
        <v>3</v>
      </c>
      <c r="W81" s="295"/>
      <c r="X81" s="295"/>
      <c r="Y81" s="30">
        <v>3</v>
      </c>
      <c r="Z81" s="30">
        <v>1.5</v>
      </c>
      <c r="AA81" s="296"/>
      <c r="AB81" s="296"/>
      <c r="AC81" s="30">
        <v>1.5</v>
      </c>
      <c r="AD81" s="30">
        <v>1.5</v>
      </c>
      <c r="AE81" s="295"/>
      <c r="AF81" s="295"/>
      <c r="AG81" s="30"/>
      <c r="AH81" s="30"/>
      <c r="AI81" s="296"/>
      <c r="AJ81" s="296"/>
      <c r="AK81" s="30"/>
      <c r="AL81" s="30"/>
      <c r="AM81" s="295"/>
      <c r="AN81" s="295"/>
      <c r="AO81" s="30"/>
      <c r="AP81" s="30"/>
      <c r="AQ81" s="296"/>
      <c r="AR81" s="296"/>
      <c r="AS81" s="30"/>
      <c r="AT81" s="30"/>
      <c r="AU81" s="295"/>
      <c r="AV81" s="30"/>
      <c r="AW81" s="30"/>
      <c r="AX81" s="30"/>
      <c r="AY81" s="30"/>
      <c r="AZ81" s="30"/>
      <c r="BA81" s="30"/>
      <c r="BB81" s="295"/>
      <c r="BC81" s="489"/>
      <c r="BD81" s="490"/>
    </row>
    <row r="82" spans="1:56" ht="33.950000000000003" customHeight="1" thickTop="1">
      <c r="A82" s="465" t="s">
        <v>71</v>
      </c>
      <c r="B82" s="468" t="s">
        <v>72</v>
      </c>
      <c r="C82" s="303" t="s">
        <v>73</v>
      </c>
      <c r="D82" s="17">
        <f t="shared" si="5"/>
        <v>1</v>
      </c>
      <c r="E82" s="17">
        <v>2</v>
      </c>
      <c r="F82" s="15" t="s">
        <v>36</v>
      </c>
      <c r="G82" s="23">
        <v>4</v>
      </c>
      <c r="H82" s="23">
        <f t="shared" si="4"/>
        <v>0</v>
      </c>
      <c r="I82" s="17" t="s">
        <v>34</v>
      </c>
      <c r="J82" s="292" t="s">
        <v>74</v>
      </c>
      <c r="K82" s="103">
        <v>4</v>
      </c>
      <c r="L82" s="23"/>
      <c r="M82" s="200"/>
      <c r="N82" s="200"/>
      <c r="O82" s="23"/>
      <c r="P82" s="23"/>
      <c r="Q82" s="23"/>
      <c r="R82" s="89"/>
      <c r="S82" s="89"/>
      <c r="T82" s="23"/>
      <c r="U82" s="23"/>
      <c r="V82" s="23"/>
      <c r="W82" s="200"/>
      <c r="X82" s="200"/>
      <c r="Y82" s="23"/>
      <c r="Z82" s="23"/>
      <c r="AA82" s="89"/>
      <c r="AB82" s="89"/>
      <c r="AC82" s="23"/>
      <c r="AD82" s="23"/>
      <c r="AE82" s="200"/>
      <c r="AF82" s="200"/>
      <c r="AG82" s="23"/>
      <c r="AH82" s="23"/>
      <c r="AI82" s="89"/>
      <c r="AJ82" s="89"/>
      <c r="AK82" s="23"/>
      <c r="AL82" s="23"/>
      <c r="AM82" s="200"/>
      <c r="AN82" s="200"/>
      <c r="AO82" s="23"/>
      <c r="AP82" s="23"/>
      <c r="AQ82" s="89"/>
      <c r="AR82" s="89"/>
      <c r="AS82" s="23"/>
      <c r="AT82" s="23"/>
      <c r="AU82" s="200"/>
      <c r="AV82" s="23"/>
      <c r="AW82" s="23"/>
      <c r="AX82" s="23"/>
      <c r="AY82" s="23"/>
      <c r="AZ82" s="23"/>
      <c r="BA82" s="23"/>
      <c r="BB82" s="200"/>
      <c r="BC82" s="481"/>
      <c r="BD82" s="482"/>
    </row>
    <row r="83" spans="1:56" ht="33.950000000000003" customHeight="1">
      <c r="A83" s="466"/>
      <c r="B83" s="469"/>
      <c r="C83" s="470" t="s">
        <v>75</v>
      </c>
      <c r="D83" s="5">
        <f t="shared" si="5"/>
        <v>3</v>
      </c>
      <c r="E83" s="5">
        <v>0</v>
      </c>
      <c r="F83" s="10" t="s">
        <v>36</v>
      </c>
      <c r="G83" s="24">
        <v>6</v>
      </c>
      <c r="H83" s="24">
        <f t="shared" si="4"/>
        <v>0</v>
      </c>
      <c r="I83" s="5" t="s">
        <v>34</v>
      </c>
      <c r="J83" s="109" t="s">
        <v>35</v>
      </c>
      <c r="K83" s="104"/>
      <c r="L83" s="24"/>
      <c r="M83" s="202"/>
      <c r="N83" s="202"/>
      <c r="O83" s="24">
        <v>2</v>
      </c>
      <c r="P83" s="24">
        <v>2</v>
      </c>
      <c r="Q83" s="24">
        <v>2</v>
      </c>
      <c r="R83" s="90"/>
      <c r="S83" s="90"/>
      <c r="T83" s="24"/>
      <c r="U83" s="24"/>
      <c r="V83" s="24"/>
      <c r="W83" s="202"/>
      <c r="X83" s="202"/>
      <c r="Y83" s="24"/>
      <c r="Z83" s="24"/>
      <c r="AA83" s="90"/>
      <c r="AB83" s="90"/>
      <c r="AC83" s="24"/>
      <c r="AD83" s="24"/>
      <c r="AE83" s="202"/>
      <c r="AF83" s="202"/>
      <c r="AG83" s="24"/>
      <c r="AH83" s="24"/>
      <c r="AI83" s="90"/>
      <c r="AJ83" s="90"/>
      <c r="AK83" s="24"/>
      <c r="AL83" s="24"/>
      <c r="AM83" s="202"/>
      <c r="AN83" s="202"/>
      <c r="AO83" s="24"/>
      <c r="AP83" s="24"/>
      <c r="AQ83" s="90"/>
      <c r="AR83" s="90"/>
      <c r="AS83" s="24"/>
      <c r="AT83" s="24"/>
      <c r="AU83" s="202"/>
      <c r="AV83" s="24"/>
      <c r="AW83" s="24"/>
      <c r="AX83" s="24"/>
      <c r="AY83" s="24"/>
      <c r="AZ83" s="24"/>
      <c r="BA83" s="24"/>
      <c r="BB83" s="202"/>
      <c r="BC83" s="477"/>
      <c r="BD83" s="478"/>
    </row>
    <row r="84" spans="1:56" ht="33.950000000000003" customHeight="1" thickBot="1">
      <c r="A84" s="467"/>
      <c r="B84" s="451"/>
      <c r="C84" s="471"/>
      <c r="D84" s="18">
        <f t="shared" si="5"/>
        <v>3</v>
      </c>
      <c r="E84" s="18">
        <v>1</v>
      </c>
      <c r="F84" s="16" t="s">
        <v>36</v>
      </c>
      <c r="G84" s="26">
        <v>6</v>
      </c>
      <c r="H84" s="26">
        <f t="shared" si="4"/>
        <v>0</v>
      </c>
      <c r="I84" s="18" t="s">
        <v>34</v>
      </c>
      <c r="J84" s="110" t="s">
        <v>37</v>
      </c>
      <c r="K84" s="106"/>
      <c r="L84" s="26">
        <v>2</v>
      </c>
      <c r="M84" s="201"/>
      <c r="N84" s="201"/>
      <c r="O84" s="26">
        <v>2</v>
      </c>
      <c r="P84" s="26"/>
      <c r="Q84" s="26">
        <v>2</v>
      </c>
      <c r="R84" s="91"/>
      <c r="S84" s="91"/>
      <c r="T84" s="26"/>
      <c r="U84" s="26"/>
      <c r="V84" s="26"/>
      <c r="W84" s="201"/>
      <c r="X84" s="201"/>
      <c r="Y84" s="26"/>
      <c r="Z84" s="26"/>
      <c r="AA84" s="91"/>
      <c r="AB84" s="91"/>
      <c r="AC84" s="26"/>
      <c r="AD84" s="26"/>
      <c r="AE84" s="201"/>
      <c r="AF84" s="201"/>
      <c r="AG84" s="26"/>
      <c r="AH84" s="26"/>
      <c r="AI84" s="91"/>
      <c r="AJ84" s="91"/>
      <c r="AK84" s="26"/>
      <c r="AL84" s="26"/>
      <c r="AM84" s="201"/>
      <c r="AN84" s="201"/>
      <c r="AO84" s="26"/>
      <c r="AP84" s="26"/>
      <c r="AQ84" s="91"/>
      <c r="AR84" s="91"/>
      <c r="AS84" s="26"/>
      <c r="AT84" s="26"/>
      <c r="AU84" s="201"/>
      <c r="AV84" s="26"/>
      <c r="AW84" s="26"/>
      <c r="AX84" s="26"/>
      <c r="AY84" s="26"/>
      <c r="AZ84" s="26"/>
      <c r="BA84" s="26"/>
      <c r="BB84" s="201"/>
      <c r="BC84" s="479"/>
      <c r="BD84" s="480"/>
    </row>
    <row r="85" spans="1:56" ht="15.75" thickTop="1">
      <c r="A85" s="399" t="s">
        <v>76</v>
      </c>
      <c r="B85" s="401" t="s">
        <v>77</v>
      </c>
      <c r="C85" s="475" t="s">
        <v>45</v>
      </c>
      <c r="D85" s="297">
        <f t="shared" si="5"/>
        <v>4</v>
      </c>
      <c r="E85" s="297">
        <v>0</v>
      </c>
      <c r="F85" s="297" t="s">
        <v>36</v>
      </c>
      <c r="G85" s="298">
        <v>6</v>
      </c>
      <c r="H85" s="299">
        <f t="shared" si="4"/>
        <v>0</v>
      </c>
      <c r="I85" s="297" t="s">
        <v>34</v>
      </c>
      <c r="J85" s="444" t="s">
        <v>35</v>
      </c>
      <c r="K85" s="300"/>
      <c r="L85" s="298"/>
      <c r="M85" s="301"/>
      <c r="N85" s="301"/>
      <c r="O85" s="298"/>
      <c r="P85" s="298"/>
      <c r="Q85" s="298"/>
      <c r="R85" s="302"/>
      <c r="S85" s="302"/>
      <c r="T85" s="298"/>
      <c r="U85" s="298"/>
      <c r="V85" s="298"/>
      <c r="W85" s="301">
        <v>1.5</v>
      </c>
      <c r="X85" s="301">
        <v>1.5</v>
      </c>
      <c r="Y85" s="298">
        <v>1.5</v>
      </c>
      <c r="Z85" s="298">
        <v>1.5</v>
      </c>
      <c r="AA85" s="302"/>
      <c r="AB85" s="302"/>
      <c r="AC85" s="298"/>
      <c r="AD85" s="298"/>
      <c r="AE85" s="301"/>
      <c r="AF85" s="301"/>
      <c r="AG85" s="298"/>
      <c r="AH85" s="298"/>
      <c r="AI85" s="302"/>
      <c r="AJ85" s="302"/>
      <c r="AK85" s="298"/>
      <c r="AL85" s="298"/>
      <c r="AM85" s="301"/>
      <c r="AN85" s="301"/>
      <c r="AO85" s="298"/>
      <c r="AP85" s="298"/>
      <c r="AQ85" s="302"/>
      <c r="AR85" s="302"/>
      <c r="AS85" s="298"/>
      <c r="AT85" s="298"/>
      <c r="AU85" s="301"/>
      <c r="AV85" s="298"/>
      <c r="AW85" s="298"/>
      <c r="AX85" s="298"/>
      <c r="AY85" s="298"/>
      <c r="AZ85" s="298"/>
      <c r="BA85" s="298"/>
      <c r="BB85" s="301"/>
      <c r="BC85" s="491"/>
      <c r="BD85" s="492"/>
    </row>
    <row r="86" spans="1:56">
      <c r="A86" s="464"/>
      <c r="B86" s="416"/>
      <c r="C86" s="473"/>
      <c r="D86" s="11">
        <f t="shared" si="5"/>
        <v>2</v>
      </c>
      <c r="E86" s="11">
        <v>0</v>
      </c>
      <c r="F86" s="11" t="s">
        <v>39</v>
      </c>
      <c r="G86" s="28">
        <v>7</v>
      </c>
      <c r="H86" s="24">
        <f t="shared" si="4"/>
        <v>0</v>
      </c>
      <c r="I86" s="11">
        <v>19</v>
      </c>
      <c r="J86" s="421"/>
      <c r="K86" s="62"/>
      <c r="L86" s="28"/>
      <c r="M86" s="204"/>
      <c r="N86" s="204"/>
      <c r="O86" s="28"/>
      <c r="P86" s="28"/>
      <c r="Q86" s="28"/>
      <c r="R86" s="93"/>
      <c r="S86" s="93"/>
      <c r="T86" s="28"/>
      <c r="U86" s="28"/>
      <c r="V86" s="28"/>
      <c r="W86" s="204"/>
      <c r="X86" s="204"/>
      <c r="Y86" s="28"/>
      <c r="Z86" s="28"/>
      <c r="AA86" s="93"/>
      <c r="AB86" s="93"/>
      <c r="AC86" s="28">
        <v>3</v>
      </c>
      <c r="AD86" s="28">
        <v>4</v>
      </c>
      <c r="AE86" s="204"/>
      <c r="AF86" s="204"/>
      <c r="AG86" s="28"/>
      <c r="AH86" s="28"/>
      <c r="AI86" s="93"/>
      <c r="AJ86" s="93"/>
      <c r="AK86" s="28"/>
      <c r="AL86" s="28"/>
      <c r="AM86" s="204"/>
      <c r="AN86" s="204"/>
      <c r="AO86" s="28"/>
      <c r="AP86" s="28"/>
      <c r="AQ86" s="93"/>
      <c r="AR86" s="93"/>
      <c r="AS86" s="28"/>
      <c r="AT86" s="28"/>
      <c r="AU86" s="204"/>
      <c r="AV86" s="28"/>
      <c r="AW86" s="28"/>
      <c r="AX86" s="28"/>
      <c r="AY86" s="28"/>
      <c r="AZ86" s="28"/>
      <c r="BA86" s="28"/>
      <c r="BB86" s="204"/>
      <c r="BC86" s="438"/>
      <c r="BD86" s="442"/>
    </row>
    <row r="87" spans="1:56" ht="15.75" thickBot="1">
      <c r="A87" s="400"/>
      <c r="B87" s="402"/>
      <c r="C87" s="474"/>
      <c r="D87" s="20">
        <f t="shared" si="5"/>
        <v>5</v>
      </c>
      <c r="E87" s="20">
        <v>0</v>
      </c>
      <c r="F87" s="20" t="s">
        <v>78</v>
      </c>
      <c r="G87" s="29">
        <v>7.5</v>
      </c>
      <c r="H87" s="26">
        <f t="shared" si="4"/>
        <v>0</v>
      </c>
      <c r="I87" s="20"/>
      <c r="J87" s="422"/>
      <c r="K87" s="108"/>
      <c r="L87" s="29"/>
      <c r="M87" s="205"/>
      <c r="N87" s="205"/>
      <c r="O87" s="29"/>
      <c r="P87" s="29"/>
      <c r="Q87" s="29"/>
      <c r="R87" s="94"/>
      <c r="S87" s="94"/>
      <c r="T87" s="29"/>
      <c r="U87" s="29"/>
      <c r="V87" s="29"/>
      <c r="W87" s="205"/>
      <c r="X87" s="205">
        <v>1.5</v>
      </c>
      <c r="Y87" s="29">
        <v>1.5</v>
      </c>
      <c r="Z87" s="29">
        <v>1.5</v>
      </c>
      <c r="AA87" s="94"/>
      <c r="AB87" s="94"/>
      <c r="AC87" s="29">
        <v>1.5</v>
      </c>
      <c r="AD87" s="29">
        <v>1.5</v>
      </c>
      <c r="AE87" s="205"/>
      <c r="AF87" s="205"/>
      <c r="AG87" s="29"/>
      <c r="AH87" s="29"/>
      <c r="AI87" s="94"/>
      <c r="AJ87" s="94"/>
      <c r="AK87" s="29"/>
      <c r="AL87" s="29"/>
      <c r="AM87" s="205"/>
      <c r="AN87" s="205"/>
      <c r="AO87" s="29"/>
      <c r="AP87" s="29"/>
      <c r="AQ87" s="94"/>
      <c r="AR87" s="94"/>
      <c r="AS87" s="29"/>
      <c r="AT87" s="29"/>
      <c r="AU87" s="205"/>
      <c r="AV87" s="29"/>
      <c r="AW87" s="29"/>
      <c r="AX87" s="29"/>
      <c r="AY87" s="29"/>
      <c r="AZ87" s="29"/>
      <c r="BA87" s="29"/>
      <c r="BB87" s="205"/>
      <c r="BC87" s="405"/>
      <c r="BD87" s="406"/>
    </row>
    <row r="88" spans="1:56" ht="15.75" thickTop="1">
      <c r="A88" s="399" t="s">
        <v>79</v>
      </c>
      <c r="B88" s="401" t="s">
        <v>80</v>
      </c>
      <c r="C88" s="472" t="s">
        <v>73</v>
      </c>
      <c r="D88" s="19">
        <f t="shared" si="5"/>
        <v>4</v>
      </c>
      <c r="E88" s="19">
        <v>0</v>
      </c>
      <c r="F88" s="19" t="s">
        <v>36</v>
      </c>
      <c r="G88" s="27">
        <v>6</v>
      </c>
      <c r="H88" s="23">
        <f t="shared" si="4"/>
        <v>0</v>
      </c>
      <c r="I88" s="19" t="s">
        <v>34</v>
      </c>
      <c r="J88" s="420" t="s">
        <v>35</v>
      </c>
      <c r="K88" s="107"/>
      <c r="L88" s="27"/>
      <c r="M88" s="203"/>
      <c r="N88" s="203"/>
      <c r="O88" s="27"/>
      <c r="P88" s="27"/>
      <c r="Q88" s="27"/>
      <c r="R88" s="92"/>
      <c r="S88" s="92"/>
      <c r="T88" s="27"/>
      <c r="U88" s="27"/>
      <c r="V88" s="27"/>
      <c r="W88" s="203">
        <v>1.5</v>
      </c>
      <c r="X88" s="203">
        <v>1.5</v>
      </c>
      <c r="Y88" s="27">
        <v>1.5</v>
      </c>
      <c r="Z88" s="27">
        <v>1.5</v>
      </c>
      <c r="AA88" s="92"/>
      <c r="AB88" s="92"/>
      <c r="AC88" s="27"/>
      <c r="AD88" s="27"/>
      <c r="AE88" s="203"/>
      <c r="AF88" s="203"/>
      <c r="AG88" s="27"/>
      <c r="AH88" s="27"/>
      <c r="AI88" s="92"/>
      <c r="AJ88" s="92"/>
      <c r="AK88" s="27"/>
      <c r="AL88" s="27"/>
      <c r="AM88" s="203"/>
      <c r="AN88" s="203"/>
      <c r="AO88" s="27"/>
      <c r="AP88" s="27"/>
      <c r="AQ88" s="92"/>
      <c r="AR88" s="92"/>
      <c r="AS88" s="27"/>
      <c r="AT88" s="27"/>
      <c r="AU88" s="203"/>
      <c r="AV88" s="27"/>
      <c r="AW88" s="27"/>
      <c r="AX88" s="27"/>
      <c r="AY88" s="27"/>
      <c r="AZ88" s="27"/>
      <c r="BA88" s="27"/>
      <c r="BB88" s="203"/>
      <c r="BC88" s="458" t="s">
        <v>81</v>
      </c>
      <c r="BD88" s="459"/>
    </row>
    <row r="89" spans="1:56">
      <c r="A89" s="464"/>
      <c r="B89" s="416"/>
      <c r="C89" s="473"/>
      <c r="D89" s="11">
        <f t="shared" si="5"/>
        <v>2</v>
      </c>
      <c r="E89" s="11">
        <v>0</v>
      </c>
      <c r="F89" s="11" t="s">
        <v>39</v>
      </c>
      <c r="G89" s="28">
        <v>7</v>
      </c>
      <c r="H89" s="24">
        <f t="shared" si="4"/>
        <v>0</v>
      </c>
      <c r="I89" s="11">
        <v>124</v>
      </c>
      <c r="J89" s="421"/>
      <c r="K89" s="62"/>
      <c r="L89" s="28"/>
      <c r="M89" s="204"/>
      <c r="N89" s="204"/>
      <c r="O89" s="28"/>
      <c r="P89" s="28"/>
      <c r="Q89" s="28"/>
      <c r="R89" s="93"/>
      <c r="S89" s="93"/>
      <c r="T89" s="28"/>
      <c r="U89" s="28"/>
      <c r="V89" s="28"/>
      <c r="W89" s="204"/>
      <c r="X89" s="204"/>
      <c r="Y89" s="28"/>
      <c r="Z89" s="28"/>
      <c r="AA89" s="93"/>
      <c r="AB89" s="93"/>
      <c r="AC89" s="28">
        <v>0</v>
      </c>
      <c r="AD89" s="28">
        <v>7</v>
      </c>
      <c r="AE89" s="204"/>
      <c r="AF89" s="204"/>
      <c r="AG89" s="28"/>
      <c r="AH89" s="28"/>
      <c r="AI89" s="93"/>
      <c r="AJ89" s="93"/>
      <c r="AK89" s="28"/>
      <c r="AL89" s="28"/>
      <c r="AM89" s="204"/>
      <c r="AN89" s="204"/>
      <c r="AO89" s="28"/>
      <c r="AP89" s="28"/>
      <c r="AQ89" s="93"/>
      <c r="AR89" s="93"/>
      <c r="AS89" s="28"/>
      <c r="AT89" s="28"/>
      <c r="AU89" s="204"/>
      <c r="AV89" s="28"/>
      <c r="AW89" s="28"/>
      <c r="AX89" s="28"/>
      <c r="AY89" s="28"/>
      <c r="AZ89" s="28"/>
      <c r="BA89" s="28"/>
      <c r="BB89" s="204"/>
      <c r="BC89" s="460"/>
      <c r="BD89" s="461"/>
    </row>
    <row r="90" spans="1:56" ht="15.75" thickBot="1">
      <c r="A90" s="400"/>
      <c r="B90" s="402"/>
      <c r="C90" s="474"/>
      <c r="D90" s="20">
        <f t="shared" si="5"/>
        <v>5</v>
      </c>
      <c r="E90" s="20">
        <v>0</v>
      </c>
      <c r="F90" s="20" t="s">
        <v>78</v>
      </c>
      <c r="G90" s="29">
        <v>7.5</v>
      </c>
      <c r="H90" s="26">
        <f t="shared" si="4"/>
        <v>0</v>
      </c>
      <c r="I90" s="20"/>
      <c r="J90" s="422"/>
      <c r="K90" s="108"/>
      <c r="L90" s="29"/>
      <c r="M90" s="205"/>
      <c r="N90" s="205"/>
      <c r="O90" s="29"/>
      <c r="P90" s="29"/>
      <c r="Q90" s="29"/>
      <c r="R90" s="94"/>
      <c r="S90" s="94"/>
      <c r="T90" s="29"/>
      <c r="U90" s="29"/>
      <c r="V90" s="29"/>
      <c r="W90" s="205"/>
      <c r="X90" s="205">
        <v>1.5</v>
      </c>
      <c r="Y90" s="29">
        <v>1.5</v>
      </c>
      <c r="Z90" s="29">
        <v>1.5</v>
      </c>
      <c r="AA90" s="94"/>
      <c r="AB90" s="94"/>
      <c r="AC90" s="29">
        <v>1.5</v>
      </c>
      <c r="AD90" s="29">
        <v>1.5</v>
      </c>
      <c r="AE90" s="205"/>
      <c r="AF90" s="205"/>
      <c r="AG90" s="29"/>
      <c r="AH90" s="29"/>
      <c r="AI90" s="94"/>
      <c r="AJ90" s="94"/>
      <c r="AK90" s="29"/>
      <c r="AL90" s="29"/>
      <c r="AM90" s="205"/>
      <c r="AN90" s="205"/>
      <c r="AO90" s="29"/>
      <c r="AP90" s="29"/>
      <c r="AQ90" s="94"/>
      <c r="AR90" s="94"/>
      <c r="AS90" s="29"/>
      <c r="AT90" s="29"/>
      <c r="AU90" s="205"/>
      <c r="AV90" s="29"/>
      <c r="AW90" s="29"/>
      <c r="AX90" s="29"/>
      <c r="AY90" s="29"/>
      <c r="AZ90" s="29"/>
      <c r="BA90" s="29"/>
      <c r="BB90" s="205"/>
      <c r="BC90" s="462"/>
      <c r="BD90" s="463"/>
    </row>
    <row r="91" spans="1:56" ht="15.75" thickTop="1">
      <c r="A91" s="399" t="s">
        <v>82</v>
      </c>
      <c r="B91" s="401" t="s">
        <v>83</v>
      </c>
      <c r="C91" s="472" t="s">
        <v>51</v>
      </c>
      <c r="D91" s="19">
        <f t="shared" si="5"/>
        <v>4</v>
      </c>
      <c r="E91" s="19">
        <v>0</v>
      </c>
      <c r="F91" s="19" t="s">
        <v>36</v>
      </c>
      <c r="G91" s="27">
        <v>6</v>
      </c>
      <c r="H91" s="23">
        <f t="shared" si="4"/>
        <v>0</v>
      </c>
      <c r="I91" s="19" t="s">
        <v>34</v>
      </c>
      <c r="J91" s="420" t="s">
        <v>35</v>
      </c>
      <c r="K91" s="107"/>
      <c r="L91" s="27"/>
      <c r="M91" s="203"/>
      <c r="N91" s="203"/>
      <c r="O91" s="27"/>
      <c r="P91" s="27"/>
      <c r="Q91" s="27"/>
      <c r="R91" s="92"/>
      <c r="S91" s="92"/>
      <c r="T91" s="27">
        <v>1.5</v>
      </c>
      <c r="U91" s="27">
        <v>1.5</v>
      </c>
      <c r="V91" s="27">
        <v>1.5</v>
      </c>
      <c r="W91" s="203">
        <v>1.5</v>
      </c>
      <c r="X91" s="203"/>
      <c r="Y91" s="27"/>
      <c r="Z91" s="27"/>
      <c r="AA91" s="92"/>
      <c r="AB91" s="92"/>
      <c r="AC91" s="27"/>
      <c r="AD91" s="27"/>
      <c r="AE91" s="203"/>
      <c r="AF91" s="203"/>
      <c r="AG91" s="27"/>
      <c r="AH91" s="27"/>
      <c r="AI91" s="92"/>
      <c r="AJ91" s="92"/>
      <c r="AK91" s="27"/>
      <c r="AL91" s="27"/>
      <c r="AM91" s="203"/>
      <c r="AN91" s="203"/>
      <c r="AO91" s="27"/>
      <c r="AP91" s="27"/>
      <c r="AQ91" s="92"/>
      <c r="AR91" s="92"/>
      <c r="AS91" s="27"/>
      <c r="AT91" s="27"/>
      <c r="AU91" s="203"/>
      <c r="AV91" s="27"/>
      <c r="AW91" s="27"/>
      <c r="AX91" s="27"/>
      <c r="AY91" s="27"/>
      <c r="AZ91" s="27"/>
      <c r="BA91" s="27"/>
      <c r="BB91" s="203"/>
      <c r="BC91" s="403"/>
      <c r="BD91" s="404"/>
    </row>
    <row r="92" spans="1:56">
      <c r="A92" s="464"/>
      <c r="B92" s="416"/>
      <c r="C92" s="473"/>
      <c r="D92" s="11">
        <f t="shared" si="5"/>
        <v>2</v>
      </c>
      <c r="E92" s="11">
        <v>0</v>
      </c>
      <c r="F92" s="11" t="s">
        <v>39</v>
      </c>
      <c r="G92" s="28">
        <v>7</v>
      </c>
      <c r="H92" s="24">
        <f t="shared" ref="H92" si="6">G92-SUM(K92:BA92)</f>
        <v>0</v>
      </c>
      <c r="I92" s="11">
        <v>19</v>
      </c>
      <c r="J92" s="421"/>
      <c r="K92" s="62"/>
      <c r="L92" s="28"/>
      <c r="M92" s="204"/>
      <c r="N92" s="204"/>
      <c r="O92" s="28"/>
      <c r="P92" s="28"/>
      <c r="Q92" s="28"/>
      <c r="R92" s="93"/>
      <c r="S92" s="93"/>
      <c r="T92" s="28"/>
      <c r="U92" s="28"/>
      <c r="V92" s="28"/>
      <c r="W92" s="204"/>
      <c r="X92" s="222">
        <v>4</v>
      </c>
      <c r="Y92" s="95">
        <v>3</v>
      </c>
      <c r="Z92" s="28"/>
      <c r="AA92" s="93"/>
      <c r="AB92" s="93"/>
      <c r="AC92" s="28"/>
      <c r="AD92" s="28"/>
      <c r="AE92" s="204"/>
      <c r="AF92" s="204"/>
      <c r="AG92" s="28"/>
      <c r="AH92" s="28"/>
      <c r="AI92" s="93"/>
      <c r="AJ92" s="93"/>
      <c r="AK92" s="28"/>
      <c r="AL92" s="28"/>
      <c r="AM92" s="204"/>
      <c r="AN92" s="204"/>
      <c r="AO92" s="28"/>
      <c r="AP92" s="28"/>
      <c r="AQ92" s="93"/>
      <c r="AR92" s="93"/>
      <c r="AS92" s="28"/>
      <c r="AT92" s="28"/>
      <c r="AU92" s="204"/>
      <c r="AV92" s="28"/>
      <c r="AW92" s="28"/>
      <c r="AX92" s="28"/>
      <c r="AY92" s="28"/>
      <c r="AZ92" s="28"/>
      <c r="BA92" s="28"/>
      <c r="BB92" s="204"/>
      <c r="BC92" s="438"/>
      <c r="BD92" s="442"/>
    </row>
    <row r="93" spans="1:56" ht="15.75" thickBot="1">
      <c r="A93" s="400"/>
      <c r="B93" s="402"/>
      <c r="C93" s="474"/>
      <c r="D93" s="20">
        <f t="shared" si="5"/>
        <v>5</v>
      </c>
      <c r="E93" s="20">
        <v>0</v>
      </c>
      <c r="F93" s="20" t="s">
        <v>78</v>
      </c>
      <c r="G93" s="29">
        <v>7.5</v>
      </c>
      <c r="H93" s="26">
        <f t="shared" si="4"/>
        <v>0</v>
      </c>
      <c r="I93" s="20"/>
      <c r="J93" s="422"/>
      <c r="K93" s="108"/>
      <c r="L93" s="29"/>
      <c r="M93" s="205"/>
      <c r="N93" s="205"/>
      <c r="O93" s="29"/>
      <c r="P93" s="29"/>
      <c r="Q93" s="29"/>
      <c r="R93" s="94"/>
      <c r="S93" s="94"/>
      <c r="T93" s="29"/>
      <c r="U93" s="29">
        <v>1.5</v>
      </c>
      <c r="V93" s="29">
        <v>1.5</v>
      </c>
      <c r="W93" s="205">
        <v>1.5</v>
      </c>
      <c r="X93" s="205">
        <v>1.5</v>
      </c>
      <c r="Y93" s="29">
        <v>1.5</v>
      </c>
      <c r="Z93" s="29"/>
      <c r="AA93" s="94"/>
      <c r="AB93" s="94"/>
      <c r="AC93" s="29"/>
      <c r="AD93" s="29"/>
      <c r="AE93" s="205"/>
      <c r="AF93" s="205"/>
      <c r="AG93" s="29"/>
      <c r="AH93" s="29"/>
      <c r="AI93" s="94"/>
      <c r="AJ93" s="94"/>
      <c r="AK93" s="29"/>
      <c r="AL93" s="29"/>
      <c r="AM93" s="205"/>
      <c r="AN93" s="205"/>
      <c r="AO93" s="29"/>
      <c r="AP93" s="29"/>
      <c r="AQ93" s="94"/>
      <c r="AR93" s="94"/>
      <c r="AS93" s="29"/>
      <c r="AT93" s="29"/>
      <c r="AU93" s="205"/>
      <c r="AV93" s="29"/>
      <c r="AW93" s="29"/>
      <c r="AX93" s="29"/>
      <c r="AY93" s="29"/>
      <c r="AZ93" s="29"/>
      <c r="BA93" s="29"/>
      <c r="BB93" s="205"/>
      <c r="BC93" s="405"/>
      <c r="BD93" s="406"/>
    </row>
    <row r="94" spans="1:56" ht="15.75" thickTop="1">
      <c r="A94" s="399" t="s">
        <v>84</v>
      </c>
      <c r="B94" s="401" t="s">
        <v>85</v>
      </c>
      <c r="C94" s="417" t="s">
        <v>86</v>
      </c>
      <c r="D94" s="19">
        <f t="shared" si="5"/>
        <v>0</v>
      </c>
      <c r="E94" s="19">
        <v>0</v>
      </c>
      <c r="F94" s="19" t="s">
        <v>36</v>
      </c>
      <c r="G94" s="27">
        <v>6</v>
      </c>
      <c r="H94" s="23">
        <f t="shared" si="4"/>
        <v>6</v>
      </c>
      <c r="I94" s="19" t="s">
        <v>34</v>
      </c>
      <c r="J94" s="420" t="s">
        <v>35</v>
      </c>
      <c r="K94" s="107"/>
      <c r="L94" s="27"/>
      <c r="M94" s="203"/>
      <c r="N94" s="203"/>
      <c r="O94" s="27"/>
      <c r="P94" s="27"/>
      <c r="Q94" s="27"/>
      <c r="R94" s="92"/>
      <c r="S94" s="92"/>
      <c r="T94" s="27"/>
      <c r="U94" s="27"/>
      <c r="V94" s="27"/>
      <c r="W94" s="203"/>
      <c r="X94" s="203"/>
      <c r="Y94" s="27"/>
      <c r="Z94" s="27"/>
      <c r="AA94" s="92"/>
      <c r="AB94" s="92"/>
      <c r="AC94" s="27"/>
      <c r="AD94" s="27"/>
      <c r="AE94" s="203"/>
      <c r="AF94" s="203"/>
      <c r="AG94" s="27"/>
      <c r="AH94" s="27"/>
      <c r="AI94" s="92"/>
      <c r="AJ94" s="92"/>
      <c r="AK94" s="27"/>
      <c r="AL94" s="27"/>
      <c r="AM94" s="203"/>
      <c r="AN94" s="203"/>
      <c r="AO94" s="27"/>
      <c r="AP94" s="27"/>
      <c r="AQ94" s="92"/>
      <c r="AR94" s="92"/>
      <c r="AS94" s="27"/>
      <c r="AT94" s="27"/>
      <c r="AU94" s="203"/>
      <c r="AV94" s="27"/>
      <c r="AW94" s="27"/>
      <c r="AX94" s="27"/>
      <c r="AY94" s="27"/>
      <c r="AZ94" s="27"/>
      <c r="BA94" s="27"/>
      <c r="BB94" s="203"/>
      <c r="BC94" s="403"/>
      <c r="BD94" s="404"/>
    </row>
    <row r="95" spans="1:56">
      <c r="A95" s="464"/>
      <c r="B95" s="416"/>
      <c r="C95" s="418"/>
      <c r="D95" s="11">
        <f t="shared" si="5"/>
        <v>0</v>
      </c>
      <c r="E95" s="11">
        <v>0</v>
      </c>
      <c r="F95" s="11" t="s">
        <v>39</v>
      </c>
      <c r="G95" s="28">
        <v>5.5</v>
      </c>
      <c r="H95" s="24">
        <f t="shared" si="4"/>
        <v>5.5</v>
      </c>
      <c r="I95" s="11"/>
      <c r="J95" s="421"/>
      <c r="K95" s="62"/>
      <c r="L95" s="28"/>
      <c r="M95" s="204"/>
      <c r="N95" s="204"/>
      <c r="O95" s="28"/>
      <c r="P95" s="28"/>
      <c r="Q95" s="28"/>
      <c r="R95" s="93"/>
      <c r="S95" s="93"/>
      <c r="T95" s="28"/>
      <c r="U95" s="28"/>
      <c r="V95" s="28"/>
      <c r="W95" s="204"/>
      <c r="X95" s="204"/>
      <c r="Y95" s="28"/>
      <c r="Z95" s="28"/>
      <c r="AA95" s="93"/>
      <c r="AB95" s="93"/>
      <c r="AC95" s="28"/>
      <c r="AD95" s="28"/>
      <c r="AE95" s="204"/>
      <c r="AF95" s="204"/>
      <c r="AG95" s="28"/>
      <c r="AH95" s="28"/>
      <c r="AI95" s="93"/>
      <c r="AJ95" s="93"/>
      <c r="AK95" s="28"/>
      <c r="AL95" s="28"/>
      <c r="AM95" s="204"/>
      <c r="AN95" s="204"/>
      <c r="AO95" s="28"/>
      <c r="AP95" s="28"/>
      <c r="AQ95" s="93"/>
      <c r="AR95" s="93"/>
      <c r="AS95" s="28"/>
      <c r="AT95" s="28"/>
      <c r="AU95" s="204"/>
      <c r="AV95" s="28"/>
      <c r="AW95" s="28"/>
      <c r="AX95" s="28"/>
      <c r="AY95" s="28"/>
      <c r="AZ95" s="28"/>
      <c r="BA95" s="28"/>
      <c r="BB95" s="204"/>
      <c r="BC95" s="438"/>
      <c r="BD95" s="442"/>
    </row>
    <row r="96" spans="1:56">
      <c r="A96" s="464"/>
      <c r="B96" s="416"/>
      <c r="C96" s="418"/>
      <c r="D96" s="11">
        <f t="shared" si="5"/>
        <v>0</v>
      </c>
      <c r="E96" s="11">
        <v>0</v>
      </c>
      <c r="F96" s="11" t="s">
        <v>78</v>
      </c>
      <c r="G96" s="28">
        <v>6</v>
      </c>
      <c r="H96" s="24">
        <f t="shared" si="4"/>
        <v>6</v>
      </c>
      <c r="I96" s="11"/>
      <c r="J96" s="421"/>
      <c r="K96" s="62"/>
      <c r="L96" s="28"/>
      <c r="M96" s="204"/>
      <c r="N96" s="204"/>
      <c r="O96" s="28"/>
      <c r="P96" s="28"/>
      <c r="Q96" s="28"/>
      <c r="R96" s="93"/>
      <c r="S96" s="93"/>
      <c r="T96" s="28"/>
      <c r="U96" s="28"/>
      <c r="V96" s="28"/>
      <c r="W96" s="204"/>
      <c r="X96" s="204"/>
      <c r="Y96" s="28"/>
      <c r="Z96" s="28"/>
      <c r="AA96" s="93"/>
      <c r="AB96" s="93"/>
      <c r="AC96" s="28"/>
      <c r="AD96" s="28"/>
      <c r="AE96" s="204"/>
      <c r="AF96" s="204"/>
      <c r="AG96" s="28"/>
      <c r="AH96" s="28"/>
      <c r="AI96" s="93"/>
      <c r="AJ96" s="93"/>
      <c r="AK96" s="28"/>
      <c r="AL96" s="28"/>
      <c r="AM96" s="204"/>
      <c r="AN96" s="204"/>
      <c r="AO96" s="28"/>
      <c r="AP96" s="28"/>
      <c r="AQ96" s="93"/>
      <c r="AR96" s="93"/>
      <c r="AS96" s="28"/>
      <c r="AT96" s="28"/>
      <c r="AU96" s="204"/>
      <c r="AV96" s="28"/>
      <c r="AW96" s="28"/>
      <c r="AX96" s="28"/>
      <c r="AY96" s="28"/>
      <c r="AZ96" s="28"/>
      <c r="BA96" s="28"/>
      <c r="BB96" s="204"/>
      <c r="BC96" s="438"/>
      <c r="BD96" s="442"/>
    </row>
    <row r="97" spans="1:56">
      <c r="A97" s="464"/>
      <c r="B97" s="416"/>
      <c r="C97" s="418" t="s">
        <v>86</v>
      </c>
      <c r="D97" s="11">
        <f t="shared" si="5"/>
        <v>0</v>
      </c>
      <c r="E97" s="11">
        <v>0</v>
      </c>
      <c r="F97" s="11" t="s">
        <v>39</v>
      </c>
      <c r="G97" s="28">
        <v>1.5</v>
      </c>
      <c r="H97" s="24">
        <f t="shared" si="4"/>
        <v>1.5</v>
      </c>
      <c r="I97" s="11"/>
      <c r="J97" s="421" t="s">
        <v>35</v>
      </c>
      <c r="K97" s="62"/>
      <c r="L97" s="28"/>
      <c r="M97" s="204"/>
      <c r="N97" s="204"/>
      <c r="O97" s="28"/>
      <c r="P97" s="28"/>
      <c r="Q97" s="28"/>
      <c r="R97" s="93"/>
      <c r="S97" s="93"/>
      <c r="T97" s="28"/>
      <c r="U97" s="28"/>
      <c r="V97" s="28"/>
      <c r="W97" s="204"/>
      <c r="X97" s="204"/>
      <c r="Y97" s="28"/>
      <c r="Z97" s="28"/>
      <c r="AA97" s="93"/>
      <c r="AB97" s="93"/>
      <c r="AC97" s="28"/>
      <c r="AD97" s="28"/>
      <c r="AE97" s="204"/>
      <c r="AF97" s="204"/>
      <c r="AG97" s="28"/>
      <c r="AH97" s="28"/>
      <c r="AI97" s="93"/>
      <c r="AJ97" s="93"/>
      <c r="AK97" s="28"/>
      <c r="AL97" s="28"/>
      <c r="AM97" s="204"/>
      <c r="AN97" s="204"/>
      <c r="AO97" s="28"/>
      <c r="AP97" s="28"/>
      <c r="AQ97" s="93"/>
      <c r="AR97" s="93"/>
      <c r="AS97" s="28"/>
      <c r="AT97" s="28"/>
      <c r="AU97" s="204"/>
      <c r="AV97" s="28"/>
      <c r="AW97" s="28"/>
      <c r="AX97" s="28"/>
      <c r="AY97" s="28"/>
      <c r="AZ97" s="28"/>
      <c r="BA97" s="28"/>
      <c r="BB97" s="204"/>
      <c r="BC97" s="438"/>
      <c r="BD97" s="442"/>
    </row>
    <row r="98" spans="1:56" ht="15.75" thickBot="1">
      <c r="A98" s="400"/>
      <c r="B98" s="402"/>
      <c r="C98" s="419"/>
      <c r="D98" s="20">
        <f t="shared" si="5"/>
        <v>0</v>
      </c>
      <c r="E98" s="20">
        <v>0</v>
      </c>
      <c r="F98" s="20" t="s">
        <v>78</v>
      </c>
      <c r="G98" s="29">
        <v>1.5</v>
      </c>
      <c r="H98" s="26">
        <f t="shared" si="4"/>
        <v>1.5</v>
      </c>
      <c r="I98" s="20"/>
      <c r="J98" s="422"/>
      <c r="K98" s="108"/>
      <c r="L98" s="29"/>
      <c r="M98" s="205"/>
      <c r="N98" s="205"/>
      <c r="O98" s="29"/>
      <c r="P98" s="29"/>
      <c r="Q98" s="29"/>
      <c r="R98" s="94"/>
      <c r="S98" s="94"/>
      <c r="T98" s="29"/>
      <c r="U98" s="29"/>
      <c r="V98" s="29"/>
      <c r="W98" s="205"/>
      <c r="X98" s="205"/>
      <c r="Y98" s="29"/>
      <c r="Z98" s="29"/>
      <c r="AA98" s="94"/>
      <c r="AB98" s="94"/>
      <c r="AC98" s="29"/>
      <c r="AD98" s="29"/>
      <c r="AE98" s="205"/>
      <c r="AF98" s="205"/>
      <c r="AG98" s="29"/>
      <c r="AH98" s="29"/>
      <c r="AI98" s="94"/>
      <c r="AJ98" s="94"/>
      <c r="AK98" s="29"/>
      <c r="AL98" s="29"/>
      <c r="AM98" s="205"/>
      <c r="AN98" s="205"/>
      <c r="AO98" s="29"/>
      <c r="AP98" s="29"/>
      <c r="AQ98" s="94"/>
      <c r="AR98" s="94"/>
      <c r="AS98" s="29"/>
      <c r="AT98" s="29"/>
      <c r="AU98" s="205"/>
      <c r="AV98" s="29"/>
      <c r="AW98" s="29"/>
      <c r="AX98" s="29"/>
      <c r="AY98" s="29"/>
      <c r="AZ98" s="29"/>
      <c r="BA98" s="29"/>
      <c r="BB98" s="205"/>
      <c r="BC98" s="405"/>
      <c r="BD98" s="406"/>
    </row>
    <row r="99" spans="1:56" ht="15.75" thickTop="1">
      <c r="A99" s="399" t="s">
        <v>87</v>
      </c>
      <c r="B99" s="401" t="s">
        <v>88</v>
      </c>
      <c r="C99" s="472" t="s">
        <v>89</v>
      </c>
      <c r="D99" s="19">
        <f t="shared" si="5"/>
        <v>1</v>
      </c>
      <c r="E99" s="19">
        <v>2</v>
      </c>
      <c r="F99" s="19" t="s">
        <v>36</v>
      </c>
      <c r="G99" s="27">
        <v>3</v>
      </c>
      <c r="H99" s="23">
        <f t="shared" si="4"/>
        <v>0</v>
      </c>
      <c r="I99" s="19" t="s">
        <v>34</v>
      </c>
      <c r="J99" s="111" t="s">
        <v>74</v>
      </c>
      <c r="K99" s="107"/>
      <c r="L99" s="27"/>
      <c r="M99" s="203"/>
      <c r="N99" s="203"/>
      <c r="O99" s="27">
        <v>3</v>
      </c>
      <c r="P99" s="27"/>
      <c r="Q99" s="27"/>
      <c r="R99" s="92"/>
      <c r="S99" s="92"/>
      <c r="T99" s="27"/>
      <c r="U99" s="27"/>
      <c r="V99" s="27"/>
      <c r="W99" s="203"/>
      <c r="X99" s="203"/>
      <c r="Y99" s="27"/>
      <c r="Z99" s="27"/>
      <c r="AA99" s="92"/>
      <c r="AB99" s="92"/>
      <c r="AC99" s="27"/>
      <c r="AD99" s="27"/>
      <c r="AE99" s="203"/>
      <c r="AF99" s="203"/>
      <c r="AG99" s="27"/>
      <c r="AH99" s="27"/>
      <c r="AI99" s="92"/>
      <c r="AJ99" s="92"/>
      <c r="AK99" s="27"/>
      <c r="AL99" s="27"/>
      <c r="AM99" s="203"/>
      <c r="AN99" s="203"/>
      <c r="AO99" s="27"/>
      <c r="AP99" s="27"/>
      <c r="AQ99" s="92"/>
      <c r="AR99" s="92"/>
      <c r="AS99" s="27"/>
      <c r="AT99" s="27"/>
      <c r="AU99" s="203"/>
      <c r="AV99" s="27"/>
      <c r="AW99" s="27"/>
      <c r="AX99" s="27"/>
      <c r="AY99" s="27"/>
      <c r="AZ99" s="27"/>
      <c r="BA99" s="27"/>
      <c r="BB99" s="203"/>
      <c r="BC99" s="403"/>
      <c r="BD99" s="404"/>
    </row>
    <row r="100" spans="1:56">
      <c r="A100" s="464"/>
      <c r="B100" s="416"/>
      <c r="C100" s="473"/>
      <c r="D100" s="11">
        <f t="shared" si="5"/>
        <v>1</v>
      </c>
      <c r="E100" s="11">
        <v>1</v>
      </c>
      <c r="F100" s="11" t="s">
        <v>90</v>
      </c>
      <c r="G100" s="28">
        <v>2</v>
      </c>
      <c r="H100" s="24">
        <f t="shared" si="4"/>
        <v>0</v>
      </c>
      <c r="I100" s="11"/>
      <c r="J100" s="112" t="s">
        <v>37</v>
      </c>
      <c r="K100" s="62"/>
      <c r="L100" s="28"/>
      <c r="M100" s="204"/>
      <c r="N100" s="204"/>
      <c r="O100" s="28"/>
      <c r="P100" s="28"/>
      <c r="Q100" s="28">
        <v>2</v>
      </c>
      <c r="R100" s="93"/>
      <c r="S100" s="93"/>
      <c r="T100" s="28"/>
      <c r="U100" s="28"/>
      <c r="V100" s="28"/>
      <c r="W100" s="204"/>
      <c r="X100" s="204"/>
      <c r="Y100" s="28"/>
      <c r="Z100" s="28"/>
      <c r="AA100" s="93"/>
      <c r="AB100" s="93"/>
      <c r="AC100" s="28"/>
      <c r="AD100" s="28"/>
      <c r="AE100" s="204"/>
      <c r="AF100" s="204"/>
      <c r="AG100" s="28"/>
      <c r="AH100" s="28"/>
      <c r="AI100" s="93"/>
      <c r="AJ100" s="93"/>
      <c r="AK100" s="28"/>
      <c r="AL100" s="28"/>
      <c r="AM100" s="204"/>
      <c r="AN100" s="204"/>
      <c r="AO100" s="28"/>
      <c r="AP100" s="28"/>
      <c r="AQ100" s="93"/>
      <c r="AR100" s="93"/>
      <c r="AS100" s="28"/>
      <c r="AT100" s="28"/>
      <c r="AU100" s="204"/>
      <c r="AV100" s="28"/>
      <c r="AW100" s="28"/>
      <c r="AX100" s="28"/>
      <c r="AY100" s="28"/>
      <c r="AZ100" s="28"/>
      <c r="BA100" s="28"/>
      <c r="BB100" s="204"/>
      <c r="BC100" s="438"/>
      <c r="BD100" s="442"/>
    </row>
    <row r="101" spans="1:56">
      <c r="A101" s="464"/>
      <c r="B101" s="416"/>
      <c r="C101" s="473"/>
      <c r="D101" s="11">
        <f t="shared" si="5"/>
        <v>1</v>
      </c>
      <c r="E101" s="11">
        <v>0</v>
      </c>
      <c r="F101" s="11" t="s">
        <v>90</v>
      </c>
      <c r="G101" s="28">
        <v>2</v>
      </c>
      <c r="H101" s="24">
        <f t="shared" si="4"/>
        <v>0</v>
      </c>
      <c r="I101" s="11"/>
      <c r="J101" s="112" t="s">
        <v>35</v>
      </c>
      <c r="K101" s="62"/>
      <c r="L101" s="28"/>
      <c r="M101" s="204"/>
      <c r="N101" s="204"/>
      <c r="O101" s="28"/>
      <c r="P101" s="28"/>
      <c r="Q101" s="28">
        <v>2</v>
      </c>
      <c r="R101" s="93"/>
      <c r="S101" s="93"/>
      <c r="T101" s="28"/>
      <c r="U101" s="28"/>
      <c r="V101" s="28"/>
      <c r="W101" s="204"/>
      <c r="X101" s="204"/>
      <c r="Y101" s="28"/>
      <c r="Z101" s="28"/>
      <c r="AA101" s="93"/>
      <c r="AB101" s="93"/>
      <c r="AC101" s="28"/>
      <c r="AD101" s="28"/>
      <c r="AE101" s="204"/>
      <c r="AF101" s="204"/>
      <c r="AG101" s="28"/>
      <c r="AH101" s="28"/>
      <c r="AI101" s="93"/>
      <c r="AJ101" s="93"/>
      <c r="AK101" s="28"/>
      <c r="AL101" s="28"/>
      <c r="AM101" s="204"/>
      <c r="AN101" s="204"/>
      <c r="AO101" s="28"/>
      <c r="AP101" s="28"/>
      <c r="AQ101" s="93"/>
      <c r="AR101" s="93"/>
      <c r="AS101" s="28"/>
      <c r="AT101" s="28"/>
      <c r="AU101" s="204"/>
      <c r="AV101" s="28"/>
      <c r="AW101" s="28"/>
      <c r="AX101" s="28"/>
      <c r="AY101" s="28"/>
      <c r="AZ101" s="28"/>
      <c r="BA101" s="28"/>
      <c r="BB101" s="204"/>
      <c r="BC101" s="438"/>
      <c r="BD101" s="442"/>
    </row>
    <row r="102" spans="1:56">
      <c r="A102" s="464"/>
      <c r="B102" s="416"/>
      <c r="C102" s="473"/>
      <c r="D102" s="11">
        <f t="shared" si="5"/>
        <v>2</v>
      </c>
      <c r="E102" s="11">
        <v>2</v>
      </c>
      <c r="F102" s="11" t="s">
        <v>78</v>
      </c>
      <c r="G102" s="28">
        <v>4.5</v>
      </c>
      <c r="H102" s="24">
        <f t="shared" si="4"/>
        <v>0</v>
      </c>
      <c r="I102" s="11"/>
      <c r="J102" s="112" t="s">
        <v>74</v>
      </c>
      <c r="K102" s="62"/>
      <c r="L102" s="28"/>
      <c r="M102" s="204"/>
      <c r="N102" s="204"/>
      <c r="O102" s="28">
        <v>3</v>
      </c>
      <c r="P102" s="28"/>
      <c r="Q102" s="28">
        <v>1.5</v>
      </c>
      <c r="R102" s="93"/>
      <c r="S102" s="93"/>
      <c r="T102" s="28"/>
      <c r="U102" s="28"/>
      <c r="V102" s="28"/>
      <c r="W102" s="204"/>
      <c r="X102" s="204"/>
      <c r="Y102" s="28"/>
      <c r="Z102" s="28"/>
      <c r="AA102" s="93"/>
      <c r="AB102" s="93"/>
      <c r="AC102" s="28"/>
      <c r="AD102" s="28"/>
      <c r="AE102" s="204"/>
      <c r="AF102" s="204"/>
      <c r="AG102" s="28"/>
      <c r="AH102" s="28"/>
      <c r="AI102" s="93"/>
      <c r="AJ102" s="93"/>
      <c r="AK102" s="28"/>
      <c r="AL102" s="28"/>
      <c r="AM102" s="204"/>
      <c r="AN102" s="204"/>
      <c r="AO102" s="28"/>
      <c r="AP102" s="28"/>
      <c r="AQ102" s="93"/>
      <c r="AR102" s="93"/>
      <c r="AS102" s="28"/>
      <c r="AT102" s="28"/>
      <c r="AU102" s="204"/>
      <c r="AV102" s="28"/>
      <c r="AW102" s="28"/>
      <c r="AX102" s="28"/>
      <c r="AY102" s="28"/>
      <c r="AZ102" s="28"/>
      <c r="BA102" s="28"/>
      <c r="BB102" s="204"/>
      <c r="BC102" s="438"/>
      <c r="BD102" s="442"/>
    </row>
    <row r="103" spans="1:56">
      <c r="A103" s="464"/>
      <c r="B103" s="416"/>
      <c r="C103" s="418" t="s">
        <v>70</v>
      </c>
      <c r="D103" s="11">
        <f t="shared" si="5"/>
        <v>0</v>
      </c>
      <c r="E103" s="11">
        <v>0</v>
      </c>
      <c r="F103" s="11" t="s">
        <v>36</v>
      </c>
      <c r="G103" s="28">
        <v>3</v>
      </c>
      <c r="H103" s="24">
        <f t="shared" si="4"/>
        <v>3</v>
      </c>
      <c r="I103" s="11" t="s">
        <v>34</v>
      </c>
      <c r="J103" s="421" t="s">
        <v>35</v>
      </c>
      <c r="K103" s="62"/>
      <c r="L103" s="28"/>
      <c r="M103" s="204"/>
      <c r="N103" s="204"/>
      <c r="O103" s="28"/>
      <c r="P103" s="28"/>
      <c r="Q103" s="28"/>
      <c r="R103" s="93"/>
      <c r="S103" s="93"/>
      <c r="T103" s="28"/>
      <c r="U103" s="28"/>
      <c r="V103" s="28"/>
      <c r="W103" s="204"/>
      <c r="X103" s="204"/>
      <c r="Y103" s="28"/>
      <c r="Z103" s="28"/>
      <c r="AA103" s="93"/>
      <c r="AB103" s="93"/>
      <c r="AC103" s="28"/>
      <c r="AD103" s="28"/>
      <c r="AE103" s="204"/>
      <c r="AF103" s="204"/>
      <c r="AG103" s="28"/>
      <c r="AH103" s="28"/>
      <c r="AI103" s="93"/>
      <c r="AJ103" s="93"/>
      <c r="AK103" s="28"/>
      <c r="AL103" s="28"/>
      <c r="AM103" s="204"/>
      <c r="AN103" s="204"/>
      <c r="AO103" s="28"/>
      <c r="AP103" s="28"/>
      <c r="AQ103" s="93"/>
      <c r="AR103" s="93"/>
      <c r="AS103" s="28"/>
      <c r="AT103" s="28"/>
      <c r="AU103" s="204"/>
      <c r="AV103" s="28"/>
      <c r="AW103" s="28"/>
      <c r="AX103" s="28"/>
      <c r="AY103" s="28"/>
      <c r="AZ103" s="28"/>
      <c r="BA103" s="28"/>
      <c r="BB103" s="204"/>
      <c r="BC103" s="438"/>
      <c r="BD103" s="442"/>
    </row>
    <row r="104" spans="1:56">
      <c r="A104" s="464"/>
      <c r="B104" s="416"/>
      <c r="C104" s="418"/>
      <c r="D104" s="11">
        <f t="shared" si="5"/>
        <v>0</v>
      </c>
      <c r="E104" s="11">
        <v>0</v>
      </c>
      <c r="F104" s="11" t="s">
        <v>39</v>
      </c>
      <c r="G104" s="28">
        <v>2</v>
      </c>
      <c r="H104" s="24">
        <f t="shared" si="4"/>
        <v>2</v>
      </c>
      <c r="I104" s="11"/>
      <c r="J104" s="421"/>
      <c r="K104" s="62"/>
      <c r="L104" s="28"/>
      <c r="M104" s="204"/>
      <c r="N104" s="204"/>
      <c r="O104" s="28"/>
      <c r="P104" s="28"/>
      <c r="Q104" s="28"/>
      <c r="R104" s="93"/>
      <c r="S104" s="93"/>
      <c r="T104" s="28"/>
      <c r="U104" s="28"/>
      <c r="V104" s="28"/>
      <c r="W104" s="204"/>
      <c r="X104" s="204"/>
      <c r="Y104" s="28"/>
      <c r="Z104" s="28"/>
      <c r="AA104" s="93"/>
      <c r="AB104" s="93"/>
      <c r="AC104" s="28"/>
      <c r="AD104" s="28"/>
      <c r="AE104" s="204"/>
      <c r="AF104" s="204"/>
      <c r="AG104" s="28"/>
      <c r="AH104" s="28"/>
      <c r="AI104" s="93"/>
      <c r="AJ104" s="93"/>
      <c r="AK104" s="28"/>
      <c r="AL104" s="28"/>
      <c r="AM104" s="204"/>
      <c r="AN104" s="204"/>
      <c r="AO104" s="28"/>
      <c r="AP104" s="28"/>
      <c r="AQ104" s="93"/>
      <c r="AR104" s="93"/>
      <c r="AS104" s="28"/>
      <c r="AT104" s="28"/>
      <c r="AU104" s="204"/>
      <c r="AV104" s="28"/>
      <c r="AW104" s="28"/>
      <c r="AX104" s="28"/>
      <c r="AY104" s="28"/>
      <c r="AZ104" s="28"/>
      <c r="BA104" s="28"/>
      <c r="BB104" s="204"/>
      <c r="BC104" s="438"/>
      <c r="BD104" s="442"/>
    </row>
    <row r="105" spans="1:56" ht="15.75" thickBot="1">
      <c r="A105" s="400"/>
      <c r="B105" s="402"/>
      <c r="C105" s="419"/>
      <c r="D105" s="20">
        <f t="shared" si="5"/>
        <v>0</v>
      </c>
      <c r="E105" s="20">
        <v>0</v>
      </c>
      <c r="F105" s="20" t="s">
        <v>78</v>
      </c>
      <c r="G105" s="29">
        <v>3</v>
      </c>
      <c r="H105" s="26">
        <f t="shared" si="4"/>
        <v>3</v>
      </c>
      <c r="I105" s="20"/>
      <c r="J105" s="422"/>
      <c r="K105" s="108"/>
      <c r="L105" s="29"/>
      <c r="M105" s="205"/>
      <c r="N105" s="205"/>
      <c r="O105" s="29"/>
      <c r="P105" s="29"/>
      <c r="Q105" s="29"/>
      <c r="R105" s="94"/>
      <c r="S105" s="94"/>
      <c r="T105" s="29"/>
      <c r="U105" s="29"/>
      <c r="V105" s="29"/>
      <c r="W105" s="205"/>
      <c r="X105" s="205"/>
      <c r="Y105" s="29"/>
      <c r="Z105" s="29"/>
      <c r="AA105" s="94"/>
      <c r="AB105" s="94"/>
      <c r="AC105" s="29"/>
      <c r="AD105" s="29"/>
      <c r="AE105" s="205"/>
      <c r="AF105" s="205"/>
      <c r="AG105" s="29"/>
      <c r="AH105" s="29"/>
      <c r="AI105" s="94"/>
      <c r="AJ105" s="94"/>
      <c r="AK105" s="29"/>
      <c r="AL105" s="29"/>
      <c r="AM105" s="205"/>
      <c r="AN105" s="205"/>
      <c r="AO105" s="29"/>
      <c r="AP105" s="29"/>
      <c r="AQ105" s="94"/>
      <c r="AR105" s="94"/>
      <c r="AS105" s="29"/>
      <c r="AT105" s="29"/>
      <c r="AU105" s="205"/>
      <c r="AV105" s="29"/>
      <c r="AW105" s="29"/>
      <c r="AX105" s="29"/>
      <c r="AY105" s="29"/>
      <c r="AZ105" s="29"/>
      <c r="BA105" s="29"/>
      <c r="BB105" s="205"/>
      <c r="BC105" s="405"/>
      <c r="BD105" s="406"/>
    </row>
    <row r="106" spans="1:56" ht="15.75" thickTop="1">
      <c r="A106" s="399" t="s">
        <v>91</v>
      </c>
      <c r="B106" s="401" t="s">
        <v>92</v>
      </c>
      <c r="C106" s="19"/>
      <c r="D106" s="19">
        <f t="shared" si="5"/>
        <v>1</v>
      </c>
      <c r="E106" s="19">
        <v>2</v>
      </c>
      <c r="F106" s="19" t="s">
        <v>36</v>
      </c>
      <c r="G106" s="27">
        <v>10</v>
      </c>
      <c r="H106" s="23">
        <f t="shared" si="4"/>
        <v>7</v>
      </c>
      <c r="I106" s="19" t="s">
        <v>34</v>
      </c>
      <c r="J106" s="111" t="s">
        <v>35</v>
      </c>
      <c r="K106" s="107">
        <v>3</v>
      </c>
      <c r="L106" s="27"/>
      <c r="M106" s="203"/>
      <c r="N106" s="203"/>
      <c r="O106" s="27"/>
      <c r="P106" s="27"/>
      <c r="Q106" s="27"/>
      <c r="R106" s="92"/>
      <c r="S106" s="92"/>
      <c r="T106" s="27"/>
      <c r="U106" s="27"/>
      <c r="V106" s="27"/>
      <c r="W106" s="203"/>
      <c r="X106" s="203"/>
      <c r="Y106" s="27"/>
      <c r="Z106" s="27"/>
      <c r="AA106" s="92"/>
      <c r="AB106" s="92"/>
      <c r="AC106" s="27"/>
      <c r="AD106" s="27"/>
      <c r="AE106" s="203"/>
      <c r="AF106" s="203"/>
      <c r="AG106" s="27"/>
      <c r="AH106" s="27"/>
      <c r="AI106" s="92"/>
      <c r="AJ106" s="92"/>
      <c r="AK106" s="27"/>
      <c r="AL106" s="27"/>
      <c r="AM106" s="203"/>
      <c r="AN106" s="203"/>
      <c r="AO106" s="27"/>
      <c r="AP106" s="27"/>
      <c r="AQ106" s="92"/>
      <c r="AR106" s="92"/>
      <c r="AS106" s="27"/>
      <c r="AT106" s="27"/>
      <c r="AU106" s="203"/>
      <c r="AV106" s="27"/>
      <c r="AW106" s="27"/>
      <c r="AX106" s="27"/>
      <c r="AY106" s="27"/>
      <c r="AZ106" s="27"/>
      <c r="BA106" s="27"/>
      <c r="BB106" s="203"/>
      <c r="BC106" s="403"/>
      <c r="BD106" s="404"/>
    </row>
    <row r="107" spans="1:56" ht="15.75" thickBot="1">
      <c r="A107" s="400"/>
      <c r="B107" s="402"/>
      <c r="C107" s="20"/>
      <c r="D107" s="20">
        <f t="shared" si="5"/>
        <v>1</v>
      </c>
      <c r="E107" s="20">
        <v>2</v>
      </c>
      <c r="F107" s="20" t="s">
        <v>36</v>
      </c>
      <c r="G107" s="29">
        <v>10</v>
      </c>
      <c r="H107" s="26">
        <f t="shared" si="4"/>
        <v>7</v>
      </c>
      <c r="I107" s="20"/>
      <c r="J107" s="113" t="s">
        <v>37</v>
      </c>
      <c r="K107" s="108">
        <v>3</v>
      </c>
      <c r="L107" s="29"/>
      <c r="M107" s="205"/>
      <c r="N107" s="205"/>
      <c r="O107" s="29"/>
      <c r="P107" s="29"/>
      <c r="Q107" s="29"/>
      <c r="R107" s="94"/>
      <c r="S107" s="94"/>
      <c r="T107" s="29"/>
      <c r="U107" s="29"/>
      <c r="V107" s="29"/>
      <c r="W107" s="205"/>
      <c r="X107" s="205"/>
      <c r="Y107" s="29"/>
      <c r="Z107" s="29"/>
      <c r="AA107" s="94"/>
      <c r="AB107" s="94"/>
      <c r="AC107" s="29"/>
      <c r="AD107" s="29"/>
      <c r="AE107" s="205"/>
      <c r="AF107" s="205"/>
      <c r="AG107" s="29"/>
      <c r="AH107" s="29"/>
      <c r="AI107" s="94"/>
      <c r="AJ107" s="94"/>
      <c r="AK107" s="29"/>
      <c r="AL107" s="29"/>
      <c r="AM107" s="205"/>
      <c r="AN107" s="205"/>
      <c r="AO107" s="29"/>
      <c r="AP107" s="29"/>
      <c r="AQ107" s="94"/>
      <c r="AR107" s="94"/>
      <c r="AS107" s="29"/>
      <c r="AT107" s="29"/>
      <c r="AU107" s="205"/>
      <c r="AV107" s="29"/>
      <c r="AW107" s="29"/>
      <c r="AX107" s="29"/>
      <c r="AY107" s="29"/>
      <c r="AZ107" s="29"/>
      <c r="BA107" s="29"/>
      <c r="BB107" s="205"/>
      <c r="BC107" s="405"/>
      <c r="BD107" s="406"/>
    </row>
    <row r="108" spans="1:56" ht="15.75" thickTop="1">
      <c r="A108" s="399"/>
      <c r="B108" s="401" t="s">
        <v>93</v>
      </c>
      <c r="C108" s="19"/>
      <c r="D108" s="19">
        <f t="shared" ref="D108:D109" si="7">COUNT(K108:BA108)</f>
        <v>0</v>
      </c>
      <c r="E108" s="19"/>
      <c r="F108" s="19" t="s">
        <v>36</v>
      </c>
      <c r="G108" s="27">
        <v>20</v>
      </c>
      <c r="H108" s="23">
        <f t="shared" ref="H108:H109" si="8">G108-SUM(K108:BA108)</f>
        <v>20</v>
      </c>
      <c r="I108" s="19"/>
      <c r="J108" s="111" t="s">
        <v>35</v>
      </c>
      <c r="K108" s="107"/>
      <c r="L108" s="27"/>
      <c r="M108" s="203"/>
      <c r="N108" s="203"/>
      <c r="O108" s="27"/>
      <c r="P108" s="27"/>
      <c r="Q108" s="27"/>
      <c r="R108" s="92"/>
      <c r="S108" s="92"/>
      <c r="T108" s="27"/>
      <c r="U108" s="27"/>
      <c r="V108" s="27"/>
      <c r="W108" s="203"/>
      <c r="X108" s="203"/>
      <c r="Y108" s="27"/>
      <c r="Z108" s="27"/>
      <c r="AA108" s="92"/>
      <c r="AB108" s="92"/>
      <c r="AC108" s="27"/>
      <c r="AD108" s="27"/>
      <c r="AE108" s="203"/>
      <c r="AF108" s="203"/>
      <c r="AG108" s="27"/>
      <c r="AH108" s="27"/>
      <c r="AI108" s="92"/>
      <c r="AJ108" s="92"/>
      <c r="AK108" s="27"/>
      <c r="AL108" s="27"/>
      <c r="AM108" s="203"/>
      <c r="AN108" s="203"/>
      <c r="AO108" s="27"/>
      <c r="AP108" s="27"/>
      <c r="AQ108" s="92"/>
      <c r="AR108" s="92"/>
      <c r="AS108" s="27"/>
      <c r="AT108" s="27"/>
      <c r="AU108" s="203"/>
      <c r="AV108" s="27"/>
      <c r="AW108" s="27"/>
      <c r="AX108" s="27"/>
      <c r="AY108" s="27"/>
      <c r="AZ108" s="27"/>
      <c r="BA108" s="27"/>
      <c r="BB108" s="203"/>
      <c r="BC108" s="403"/>
      <c r="BD108" s="404"/>
    </row>
    <row r="109" spans="1:56" ht="15.75" thickBot="1">
      <c r="A109" s="400"/>
      <c r="B109" s="402"/>
      <c r="C109" s="20"/>
      <c r="D109" s="20">
        <f t="shared" si="7"/>
        <v>0</v>
      </c>
      <c r="E109" s="20"/>
      <c r="F109" s="20" t="s">
        <v>36</v>
      </c>
      <c r="G109" s="29">
        <v>21</v>
      </c>
      <c r="H109" s="26">
        <f t="shared" si="8"/>
        <v>21</v>
      </c>
      <c r="I109" s="20"/>
      <c r="J109" s="113" t="s">
        <v>37</v>
      </c>
      <c r="K109" s="108"/>
      <c r="L109" s="29"/>
      <c r="M109" s="205"/>
      <c r="N109" s="205"/>
      <c r="O109" s="29"/>
      <c r="P109" s="29"/>
      <c r="Q109" s="29"/>
      <c r="R109" s="94"/>
      <c r="S109" s="94"/>
      <c r="T109" s="29"/>
      <c r="U109" s="29"/>
      <c r="V109" s="29"/>
      <c r="W109" s="205"/>
      <c r="X109" s="205"/>
      <c r="Y109" s="29"/>
      <c r="Z109" s="29"/>
      <c r="AA109" s="94"/>
      <c r="AB109" s="94"/>
      <c r="AC109" s="29"/>
      <c r="AD109" s="29"/>
      <c r="AE109" s="205"/>
      <c r="AF109" s="205"/>
      <c r="AG109" s="29"/>
      <c r="AH109" s="29"/>
      <c r="AI109" s="94"/>
      <c r="AJ109" s="94"/>
      <c r="AK109" s="29"/>
      <c r="AL109" s="29"/>
      <c r="AM109" s="205"/>
      <c r="AN109" s="205"/>
      <c r="AO109" s="29"/>
      <c r="AP109" s="29"/>
      <c r="AQ109" s="94"/>
      <c r="AR109" s="94"/>
      <c r="AS109" s="29"/>
      <c r="AT109" s="29"/>
      <c r="AU109" s="205"/>
      <c r="AV109" s="29"/>
      <c r="AW109" s="29"/>
      <c r="AX109" s="29"/>
      <c r="AY109" s="29"/>
      <c r="AZ109" s="29"/>
      <c r="BA109" s="29"/>
      <c r="BB109" s="205"/>
      <c r="BC109" s="405"/>
      <c r="BD109" s="406"/>
    </row>
    <row r="110" spans="1:56" ht="103.5" customHeight="1" thickTop="1" thickBot="1">
      <c r="A110" s="398" t="s">
        <v>94</v>
      </c>
      <c r="B110" s="398"/>
      <c r="C110" s="398"/>
      <c r="D110" s="398"/>
      <c r="E110" s="398"/>
      <c r="F110" s="398"/>
      <c r="G110" s="398"/>
      <c r="H110" s="398"/>
      <c r="I110" s="398"/>
      <c r="J110" s="398"/>
      <c r="K110" s="398"/>
      <c r="L110" s="398"/>
      <c r="M110" s="398"/>
      <c r="N110" s="398"/>
      <c r="O110" s="398"/>
      <c r="P110" s="398"/>
      <c r="Q110" s="398"/>
      <c r="R110" s="398"/>
      <c r="S110" s="398"/>
      <c r="T110" s="398"/>
      <c r="U110" s="398"/>
      <c r="V110" s="398"/>
      <c r="W110" s="398"/>
      <c r="X110" s="398"/>
      <c r="Y110" s="398"/>
      <c r="Z110" s="398"/>
      <c r="AA110" s="398"/>
      <c r="AB110" s="398"/>
      <c r="AC110" s="398"/>
      <c r="AD110" s="398"/>
      <c r="AE110" s="398"/>
      <c r="AF110" s="398"/>
      <c r="AG110" s="398"/>
      <c r="AH110" s="398"/>
      <c r="AI110" s="398"/>
      <c r="AJ110" s="398"/>
      <c r="AK110" s="398"/>
      <c r="AL110" s="398"/>
      <c r="AM110" s="398"/>
      <c r="AN110" s="398"/>
      <c r="AO110" s="398"/>
      <c r="AP110" s="398"/>
      <c r="AQ110" s="398"/>
      <c r="AR110" s="398"/>
      <c r="AS110" s="398"/>
      <c r="AT110" s="398"/>
      <c r="AU110" s="398"/>
      <c r="AV110" s="398"/>
      <c r="AW110" s="398"/>
      <c r="AX110" s="398"/>
      <c r="AY110" s="398"/>
      <c r="AZ110" s="398"/>
      <c r="BA110" s="398"/>
      <c r="BB110" s="398"/>
      <c r="BC110" s="398"/>
      <c r="BD110" s="398"/>
    </row>
    <row r="111" spans="1:56" ht="15.75" thickTop="1">
      <c r="A111" s="439" t="s">
        <v>95</v>
      </c>
      <c r="B111" s="426" t="s">
        <v>96</v>
      </c>
      <c r="C111" s="429" t="s">
        <v>97</v>
      </c>
      <c r="D111" s="17">
        <f t="shared" ref="D111:D174" si="9">COUNT(K111:BA111)</f>
        <v>10</v>
      </c>
      <c r="E111" s="17">
        <v>0</v>
      </c>
      <c r="F111" s="15" t="s">
        <v>33</v>
      </c>
      <c r="G111" s="17">
        <v>15</v>
      </c>
      <c r="H111" s="17">
        <f>G111-SUM(K111:BB111)</f>
        <v>0</v>
      </c>
      <c r="I111" s="286" t="s">
        <v>34</v>
      </c>
      <c r="J111" s="407" t="s">
        <v>35</v>
      </c>
      <c r="K111" s="118"/>
      <c r="L111" s="114"/>
      <c r="M111" s="220"/>
      <c r="N111" s="220"/>
      <c r="O111" s="114"/>
      <c r="P111" s="114"/>
      <c r="Q111" s="114"/>
      <c r="R111" s="121"/>
      <c r="S111" s="121"/>
      <c r="T111" s="114"/>
      <c r="U111" s="114"/>
      <c r="V111" s="114"/>
      <c r="W111" s="220"/>
      <c r="X111" s="220"/>
      <c r="Y111" s="114"/>
      <c r="Z111" s="114"/>
      <c r="AA111" s="128"/>
      <c r="AB111" s="128"/>
      <c r="AC111" s="114"/>
      <c r="AD111" s="114"/>
      <c r="AE111" s="220"/>
      <c r="AF111" s="220">
        <v>1.5</v>
      </c>
      <c r="AG111" s="114">
        <v>1.5</v>
      </c>
      <c r="AH111" s="114">
        <v>1.5</v>
      </c>
      <c r="AI111" s="128"/>
      <c r="AJ111" s="128"/>
      <c r="AK111" s="114">
        <v>1.5</v>
      </c>
      <c r="AL111" s="114">
        <v>1.5</v>
      </c>
      <c r="AM111" s="220">
        <v>1.5</v>
      </c>
      <c r="AN111" s="220">
        <v>1.5</v>
      </c>
      <c r="AO111" s="114">
        <v>1.5</v>
      </c>
      <c r="AP111" s="114">
        <v>1.5</v>
      </c>
      <c r="AQ111" s="128"/>
      <c r="AR111" s="128"/>
      <c r="AS111" s="114">
        <v>1.5</v>
      </c>
      <c r="AT111" s="114"/>
      <c r="AU111" s="220"/>
      <c r="AV111" s="114"/>
      <c r="AW111" s="114"/>
      <c r="AX111" s="114"/>
      <c r="AY111" s="114"/>
      <c r="AZ111" s="114"/>
      <c r="BA111" s="114"/>
      <c r="BB111" s="220"/>
      <c r="BC111" s="409" t="s">
        <v>98</v>
      </c>
      <c r="BD111" s="322"/>
    </row>
    <row r="112" spans="1:56">
      <c r="A112" s="440"/>
      <c r="B112" s="427"/>
      <c r="C112" s="430"/>
      <c r="D112" s="5">
        <f t="shared" si="9"/>
        <v>10</v>
      </c>
      <c r="E112" s="5">
        <v>0</v>
      </c>
      <c r="F112" s="10" t="s">
        <v>36</v>
      </c>
      <c r="G112" s="5">
        <v>15</v>
      </c>
      <c r="H112" s="5">
        <f t="shared" ref="H112:H175" si="10">G112-SUM(K112:BB112)</f>
        <v>0</v>
      </c>
      <c r="I112" s="287" t="s">
        <v>34</v>
      </c>
      <c r="J112" s="408"/>
      <c r="K112" s="119"/>
      <c r="L112" s="33"/>
      <c r="M112" s="218"/>
      <c r="N112" s="218"/>
      <c r="O112" s="33"/>
      <c r="P112" s="33"/>
      <c r="Q112" s="33"/>
      <c r="R112" s="122"/>
      <c r="S112" s="122"/>
      <c r="T112" s="33"/>
      <c r="U112" s="33"/>
      <c r="V112" s="33"/>
      <c r="W112" s="218"/>
      <c r="X112" s="218"/>
      <c r="Y112" s="33"/>
      <c r="Z112" s="33"/>
      <c r="AA112" s="129"/>
      <c r="AB112" s="129"/>
      <c r="AC112" s="33"/>
      <c r="AD112" s="33"/>
      <c r="AE112" s="218"/>
      <c r="AF112" s="218">
        <v>1.5</v>
      </c>
      <c r="AG112" s="33">
        <v>1.5</v>
      </c>
      <c r="AH112" s="33">
        <v>1.5</v>
      </c>
      <c r="AI112" s="129"/>
      <c r="AJ112" s="129"/>
      <c r="AK112" s="33"/>
      <c r="AL112" s="33"/>
      <c r="AM112" s="218">
        <v>1.5</v>
      </c>
      <c r="AN112" s="218">
        <v>1.5</v>
      </c>
      <c r="AO112" s="33">
        <v>1.5</v>
      </c>
      <c r="AP112" s="33">
        <v>1.5</v>
      </c>
      <c r="AQ112" s="129"/>
      <c r="AR112" s="129"/>
      <c r="AS112" s="33">
        <v>1.5</v>
      </c>
      <c r="AT112" s="33">
        <v>1.5</v>
      </c>
      <c r="AU112" s="218">
        <v>1.5</v>
      </c>
      <c r="AV112" s="33"/>
      <c r="AW112" s="33"/>
      <c r="AX112" s="33"/>
      <c r="AY112" s="33"/>
      <c r="AZ112" s="33"/>
      <c r="BA112" s="33"/>
      <c r="BB112" s="218"/>
      <c r="BC112" s="410"/>
      <c r="BD112" s="345"/>
    </row>
    <row r="113" spans="1:56">
      <c r="A113" s="440"/>
      <c r="B113" s="427"/>
      <c r="C113" s="5" t="s">
        <v>38</v>
      </c>
      <c r="D113" s="5">
        <f t="shared" si="9"/>
        <v>2</v>
      </c>
      <c r="E113" s="5">
        <v>0</v>
      </c>
      <c r="F113" s="10" t="s">
        <v>99</v>
      </c>
      <c r="G113" s="5">
        <v>6</v>
      </c>
      <c r="H113" s="5">
        <f t="shared" si="10"/>
        <v>0</v>
      </c>
      <c r="I113" s="287">
        <v>123</v>
      </c>
      <c r="J113" s="408"/>
      <c r="K113" s="119"/>
      <c r="L113" s="33"/>
      <c r="M113" s="218"/>
      <c r="N113" s="218"/>
      <c r="O113" s="33"/>
      <c r="P113" s="33"/>
      <c r="Q113" s="33"/>
      <c r="R113" s="122"/>
      <c r="S113" s="122"/>
      <c r="T113" s="33"/>
      <c r="U113" s="33"/>
      <c r="V113" s="33"/>
      <c r="W113" s="218"/>
      <c r="X113" s="218"/>
      <c r="Y113" s="33"/>
      <c r="Z113" s="33"/>
      <c r="AA113" s="129"/>
      <c r="AB113" s="129"/>
      <c r="AC113" s="33"/>
      <c r="AD113" s="33"/>
      <c r="AE113" s="218"/>
      <c r="AF113" s="218"/>
      <c r="AG113" s="33"/>
      <c r="AH113" s="33"/>
      <c r="AI113" s="129"/>
      <c r="AJ113" s="129"/>
      <c r="AK113" s="33"/>
      <c r="AL113" s="33"/>
      <c r="AM113" s="218"/>
      <c r="AN113" s="218"/>
      <c r="AO113" s="33"/>
      <c r="AP113" s="33"/>
      <c r="AQ113" s="129"/>
      <c r="AR113" s="129"/>
      <c r="AS113" s="33"/>
      <c r="AT113" s="33"/>
      <c r="AU113" s="218"/>
      <c r="AV113" s="33"/>
      <c r="AW113" s="33"/>
      <c r="AX113" s="33"/>
      <c r="AY113" s="33">
        <v>3</v>
      </c>
      <c r="AZ113" s="33">
        <v>3</v>
      </c>
      <c r="BA113" s="33"/>
      <c r="BB113" s="218"/>
      <c r="BC113" s="410"/>
      <c r="BD113" s="345"/>
    </row>
    <row r="114" spans="1:56">
      <c r="A114" s="440"/>
      <c r="B114" s="427"/>
      <c r="C114" s="430" t="s">
        <v>97</v>
      </c>
      <c r="D114" s="5">
        <f t="shared" si="9"/>
        <v>10</v>
      </c>
      <c r="E114" s="5">
        <v>1</v>
      </c>
      <c r="F114" s="10" t="s">
        <v>33</v>
      </c>
      <c r="G114" s="5">
        <v>15</v>
      </c>
      <c r="H114" s="5">
        <f t="shared" si="10"/>
        <v>0</v>
      </c>
      <c r="I114" s="287" t="s">
        <v>34</v>
      </c>
      <c r="J114" s="408" t="s">
        <v>37</v>
      </c>
      <c r="K114" s="119"/>
      <c r="L114" s="33"/>
      <c r="M114" s="218"/>
      <c r="N114" s="218"/>
      <c r="O114" s="33"/>
      <c r="P114" s="33"/>
      <c r="Q114" s="33"/>
      <c r="R114" s="122"/>
      <c r="S114" s="122"/>
      <c r="T114" s="33"/>
      <c r="U114" s="33"/>
      <c r="V114" s="33"/>
      <c r="W114" s="218"/>
      <c r="X114" s="218"/>
      <c r="Y114" s="33"/>
      <c r="Z114" s="33"/>
      <c r="AA114" s="129"/>
      <c r="AB114" s="129"/>
      <c r="AC114" s="33"/>
      <c r="AD114" s="33"/>
      <c r="AE114" s="218"/>
      <c r="AF114" s="218"/>
      <c r="AG114" s="33">
        <v>1.5</v>
      </c>
      <c r="AH114" s="33">
        <v>1.5</v>
      </c>
      <c r="AI114" s="129"/>
      <c r="AJ114" s="129"/>
      <c r="AK114" s="33">
        <v>1.5</v>
      </c>
      <c r="AL114" s="33">
        <v>1.5</v>
      </c>
      <c r="AM114" s="218"/>
      <c r="AN114" s="218"/>
      <c r="AO114" s="33">
        <v>1.5</v>
      </c>
      <c r="AP114" s="33">
        <v>1.5</v>
      </c>
      <c r="AQ114" s="129"/>
      <c r="AR114" s="129"/>
      <c r="AS114" s="33">
        <v>1.5</v>
      </c>
      <c r="AT114" s="33">
        <v>1.5</v>
      </c>
      <c r="AU114" s="218"/>
      <c r="AV114" s="33"/>
      <c r="AW114" s="33"/>
      <c r="AX114" s="33"/>
      <c r="AY114" s="33">
        <v>1.5</v>
      </c>
      <c r="AZ114" s="33">
        <v>1.5</v>
      </c>
      <c r="BA114" s="33"/>
      <c r="BB114" s="218"/>
      <c r="BC114" s="410"/>
      <c r="BD114" s="345"/>
    </row>
    <row r="115" spans="1:56">
      <c r="A115" s="440"/>
      <c r="B115" s="427"/>
      <c r="C115" s="430"/>
      <c r="D115" s="5">
        <f t="shared" si="9"/>
        <v>10</v>
      </c>
      <c r="E115" s="5">
        <v>1</v>
      </c>
      <c r="F115" s="10" t="s">
        <v>36</v>
      </c>
      <c r="G115" s="5">
        <v>15</v>
      </c>
      <c r="H115" s="5">
        <f t="shared" si="10"/>
        <v>0</v>
      </c>
      <c r="I115" s="287" t="s">
        <v>34</v>
      </c>
      <c r="J115" s="408"/>
      <c r="K115" s="119"/>
      <c r="L115" s="33"/>
      <c r="M115" s="218"/>
      <c r="N115" s="218"/>
      <c r="O115" s="33"/>
      <c r="P115" s="33"/>
      <c r="Q115" s="33"/>
      <c r="R115" s="122"/>
      <c r="S115" s="122"/>
      <c r="T115" s="33"/>
      <c r="U115" s="33"/>
      <c r="V115" s="33"/>
      <c r="W115" s="218"/>
      <c r="X115" s="218"/>
      <c r="Y115" s="33"/>
      <c r="Z115" s="33"/>
      <c r="AA115" s="129"/>
      <c r="AB115" s="129"/>
      <c r="AC115" s="33"/>
      <c r="AD115" s="33"/>
      <c r="AE115" s="218"/>
      <c r="AF115" s="218"/>
      <c r="AG115" s="33">
        <v>1.5</v>
      </c>
      <c r="AH115" s="33"/>
      <c r="AI115" s="129"/>
      <c r="AJ115" s="129"/>
      <c r="AK115" s="33"/>
      <c r="AL115" s="33">
        <v>1.5</v>
      </c>
      <c r="AM115" s="218"/>
      <c r="AN115" s="218"/>
      <c r="AO115" s="33">
        <v>1.5</v>
      </c>
      <c r="AP115" s="33">
        <v>1.5</v>
      </c>
      <c r="AQ115" s="129"/>
      <c r="AR115" s="129"/>
      <c r="AS115" s="33">
        <v>1.5</v>
      </c>
      <c r="AT115" s="33">
        <v>1.5</v>
      </c>
      <c r="AU115" s="218"/>
      <c r="AV115" s="33">
        <v>1.5</v>
      </c>
      <c r="AW115" s="33">
        <v>1.5</v>
      </c>
      <c r="AX115" s="33">
        <v>1.5</v>
      </c>
      <c r="AY115" s="33">
        <v>1.5</v>
      </c>
      <c r="AZ115" s="33"/>
      <c r="BA115" s="33"/>
      <c r="BB115" s="218"/>
      <c r="BC115" s="410"/>
      <c r="BD115" s="345"/>
    </row>
    <row r="116" spans="1:56" ht="15.75" thickBot="1">
      <c r="A116" s="441"/>
      <c r="B116" s="428"/>
      <c r="C116" s="18" t="s">
        <v>38</v>
      </c>
      <c r="D116" s="18">
        <f t="shared" si="9"/>
        <v>2</v>
      </c>
      <c r="E116" s="18">
        <v>1</v>
      </c>
      <c r="F116" s="16" t="s">
        <v>99</v>
      </c>
      <c r="G116" s="18">
        <v>6</v>
      </c>
      <c r="H116" s="18">
        <f t="shared" si="10"/>
        <v>0</v>
      </c>
      <c r="I116" s="288">
        <v>123</v>
      </c>
      <c r="J116" s="412"/>
      <c r="K116" s="120"/>
      <c r="L116" s="115"/>
      <c r="M116" s="219"/>
      <c r="N116" s="219"/>
      <c r="O116" s="115"/>
      <c r="P116" s="115"/>
      <c r="Q116" s="115"/>
      <c r="R116" s="123"/>
      <c r="S116" s="123"/>
      <c r="T116" s="115"/>
      <c r="U116" s="115"/>
      <c r="V116" s="115"/>
      <c r="W116" s="219"/>
      <c r="X116" s="219"/>
      <c r="Y116" s="115"/>
      <c r="Z116" s="115"/>
      <c r="AA116" s="130"/>
      <c r="AB116" s="130"/>
      <c r="AC116" s="115"/>
      <c r="AD116" s="115"/>
      <c r="AE116" s="219"/>
      <c r="AF116" s="219"/>
      <c r="AG116" s="115"/>
      <c r="AH116" s="115"/>
      <c r="AI116" s="130"/>
      <c r="AJ116" s="130"/>
      <c r="AK116" s="115"/>
      <c r="AL116" s="115"/>
      <c r="AM116" s="219"/>
      <c r="AN116" s="219"/>
      <c r="AO116" s="115"/>
      <c r="AP116" s="115"/>
      <c r="AQ116" s="130"/>
      <c r="AR116" s="130"/>
      <c r="AS116" s="115"/>
      <c r="AT116" s="115"/>
      <c r="AU116" s="219"/>
      <c r="AV116" s="115"/>
      <c r="AW116" s="115"/>
      <c r="AX116" s="115"/>
      <c r="AY116" s="115"/>
      <c r="AZ116" s="115">
        <v>3</v>
      </c>
      <c r="BA116" s="115">
        <v>3</v>
      </c>
      <c r="BB116" s="219"/>
      <c r="BC116" s="411"/>
      <c r="BD116" s="324"/>
    </row>
    <row r="117" spans="1:56" ht="15.75" thickTop="1">
      <c r="A117" s="432" t="s">
        <v>100</v>
      </c>
      <c r="B117" s="426" t="s">
        <v>101</v>
      </c>
      <c r="C117" s="17" t="s">
        <v>32</v>
      </c>
      <c r="D117" s="17">
        <f t="shared" si="9"/>
        <v>7</v>
      </c>
      <c r="E117" s="17">
        <v>0</v>
      </c>
      <c r="F117" s="15" t="s">
        <v>99</v>
      </c>
      <c r="G117" s="17">
        <v>19.5</v>
      </c>
      <c r="H117" s="17">
        <f t="shared" si="10"/>
        <v>0</v>
      </c>
      <c r="I117" s="286">
        <v>126</v>
      </c>
      <c r="J117" s="407" t="s">
        <v>35</v>
      </c>
      <c r="K117" s="118"/>
      <c r="L117" s="114"/>
      <c r="M117" s="220"/>
      <c r="N117" s="220"/>
      <c r="O117" s="114"/>
      <c r="P117" s="114"/>
      <c r="Q117" s="114"/>
      <c r="R117" s="121"/>
      <c r="S117" s="121"/>
      <c r="T117" s="114"/>
      <c r="U117" s="114"/>
      <c r="V117" s="114"/>
      <c r="W117" s="220"/>
      <c r="X117" s="220"/>
      <c r="Y117" s="114"/>
      <c r="Z117" s="114"/>
      <c r="AA117" s="128"/>
      <c r="AB117" s="128"/>
      <c r="AC117" s="114"/>
      <c r="AD117" s="114">
        <v>1.5</v>
      </c>
      <c r="AE117" s="220">
        <v>3</v>
      </c>
      <c r="AF117" s="220">
        <v>3</v>
      </c>
      <c r="AG117" s="114">
        <v>3</v>
      </c>
      <c r="AH117" s="114">
        <v>3</v>
      </c>
      <c r="AI117" s="128"/>
      <c r="AJ117" s="128"/>
      <c r="AK117" s="114">
        <v>3</v>
      </c>
      <c r="AL117" s="114">
        <v>3</v>
      </c>
      <c r="AM117" s="220"/>
      <c r="AN117" s="220"/>
      <c r="AO117" s="114"/>
      <c r="AP117" s="114"/>
      <c r="AQ117" s="128"/>
      <c r="AR117" s="128"/>
      <c r="AS117" s="114"/>
      <c r="AT117" s="114"/>
      <c r="AU117" s="220"/>
      <c r="AV117" s="114"/>
      <c r="AW117" s="114"/>
      <c r="AX117" s="114"/>
      <c r="AY117" s="114"/>
      <c r="AZ117" s="114"/>
      <c r="BA117" s="114"/>
      <c r="BB117" s="220"/>
      <c r="BC117" s="409" t="s">
        <v>102</v>
      </c>
      <c r="BD117" s="322"/>
    </row>
    <row r="118" spans="1:56">
      <c r="A118" s="433"/>
      <c r="B118" s="427"/>
      <c r="C118" s="5" t="s">
        <v>38</v>
      </c>
      <c r="D118" s="5">
        <f t="shared" si="9"/>
        <v>2</v>
      </c>
      <c r="E118" s="5">
        <v>0</v>
      </c>
      <c r="F118" s="10" t="s">
        <v>99</v>
      </c>
      <c r="G118" s="5">
        <v>4.5</v>
      </c>
      <c r="H118" s="5">
        <f t="shared" si="10"/>
        <v>0</v>
      </c>
      <c r="I118" s="287">
        <v>123</v>
      </c>
      <c r="J118" s="408"/>
      <c r="K118" s="119"/>
      <c r="L118" s="33"/>
      <c r="M118" s="218"/>
      <c r="N118" s="218"/>
      <c r="O118" s="33"/>
      <c r="P118" s="33"/>
      <c r="Q118" s="33"/>
      <c r="R118" s="122"/>
      <c r="S118" s="122"/>
      <c r="T118" s="33"/>
      <c r="U118" s="33"/>
      <c r="V118" s="33"/>
      <c r="W118" s="218"/>
      <c r="X118" s="218"/>
      <c r="Y118" s="33"/>
      <c r="Z118" s="33"/>
      <c r="AA118" s="129"/>
      <c r="AB118" s="129"/>
      <c r="AC118" s="33"/>
      <c r="AD118" s="33"/>
      <c r="AE118" s="218"/>
      <c r="AF118" s="218"/>
      <c r="AG118" s="33"/>
      <c r="AH118" s="33"/>
      <c r="AI118" s="129"/>
      <c r="AJ118" s="129"/>
      <c r="AK118" s="33"/>
      <c r="AL118" s="33"/>
      <c r="AM118" s="218"/>
      <c r="AN118" s="218"/>
      <c r="AO118" s="33"/>
      <c r="AP118" s="33"/>
      <c r="AQ118" s="129"/>
      <c r="AR118" s="129"/>
      <c r="AS118" s="33">
        <v>1.5</v>
      </c>
      <c r="AT118" s="33">
        <v>3</v>
      </c>
      <c r="AU118" s="218"/>
      <c r="AV118" s="33"/>
      <c r="AW118" s="33"/>
      <c r="AX118" s="33"/>
      <c r="AY118" s="33"/>
      <c r="AZ118" s="33"/>
      <c r="BA118" s="33"/>
      <c r="BB118" s="218"/>
      <c r="BC118" s="410"/>
      <c r="BD118" s="345"/>
    </row>
    <row r="119" spans="1:56">
      <c r="A119" s="433"/>
      <c r="B119" s="427"/>
      <c r="C119" s="5" t="s">
        <v>32</v>
      </c>
      <c r="D119" s="7">
        <f t="shared" si="9"/>
        <v>7</v>
      </c>
      <c r="E119" s="7">
        <v>1</v>
      </c>
      <c r="F119" s="25" t="s">
        <v>99</v>
      </c>
      <c r="G119" s="7">
        <v>19.5</v>
      </c>
      <c r="H119" s="7">
        <f t="shared" si="10"/>
        <v>0</v>
      </c>
      <c r="I119" s="7">
        <v>126</v>
      </c>
      <c r="J119" s="408" t="s">
        <v>37</v>
      </c>
      <c r="K119" s="119"/>
      <c r="L119" s="33"/>
      <c r="M119" s="218"/>
      <c r="N119" s="218"/>
      <c r="O119" s="33"/>
      <c r="P119" s="33"/>
      <c r="Q119" s="33"/>
      <c r="R119" s="122"/>
      <c r="S119" s="122"/>
      <c r="T119" s="33"/>
      <c r="U119" s="33"/>
      <c r="V119" s="33"/>
      <c r="W119" s="218"/>
      <c r="X119" s="218"/>
      <c r="Y119" s="33"/>
      <c r="Z119" s="33"/>
      <c r="AA119" s="129"/>
      <c r="AB119" s="129"/>
      <c r="AC119" s="33"/>
      <c r="AD119" s="33"/>
      <c r="AE119" s="218"/>
      <c r="AF119" s="218"/>
      <c r="AG119" s="33"/>
      <c r="AH119" s="33"/>
      <c r="AI119" s="129"/>
      <c r="AJ119" s="129"/>
      <c r="AK119" s="33"/>
      <c r="AL119" s="33"/>
      <c r="AM119" s="218"/>
      <c r="AN119" s="218"/>
      <c r="AO119" s="33">
        <v>1.5</v>
      </c>
      <c r="AP119" s="33">
        <v>3</v>
      </c>
      <c r="AQ119" s="129"/>
      <c r="AR119" s="129"/>
      <c r="AS119" s="33">
        <v>3</v>
      </c>
      <c r="AT119" s="33">
        <v>3</v>
      </c>
      <c r="AU119" s="218"/>
      <c r="AV119" s="33">
        <v>3</v>
      </c>
      <c r="AW119" s="33">
        <v>3</v>
      </c>
      <c r="AX119" s="33">
        <v>3</v>
      </c>
      <c r="AY119" s="33"/>
      <c r="AZ119" s="33"/>
      <c r="BA119" s="33"/>
      <c r="BB119" s="218"/>
      <c r="BC119" s="410"/>
      <c r="BD119" s="345"/>
    </row>
    <row r="120" spans="1:56" ht="15.75" thickBot="1">
      <c r="A120" s="434"/>
      <c r="B120" s="428"/>
      <c r="C120" s="18" t="s">
        <v>38</v>
      </c>
      <c r="D120" s="18">
        <f t="shared" si="9"/>
        <v>3</v>
      </c>
      <c r="E120" s="18">
        <v>1</v>
      </c>
      <c r="F120" s="18" t="s">
        <v>99</v>
      </c>
      <c r="G120" s="18">
        <v>4.5</v>
      </c>
      <c r="H120" s="18">
        <f t="shared" si="10"/>
        <v>0</v>
      </c>
      <c r="I120" s="288">
        <v>123</v>
      </c>
      <c r="J120" s="412"/>
      <c r="K120" s="120"/>
      <c r="L120" s="115"/>
      <c r="M120" s="219"/>
      <c r="N120" s="219"/>
      <c r="O120" s="115"/>
      <c r="P120" s="115"/>
      <c r="Q120" s="115"/>
      <c r="R120" s="123"/>
      <c r="S120" s="123"/>
      <c r="T120" s="115"/>
      <c r="U120" s="115"/>
      <c r="V120" s="115"/>
      <c r="W120" s="219"/>
      <c r="X120" s="219"/>
      <c r="Y120" s="115"/>
      <c r="Z120" s="115"/>
      <c r="AA120" s="130"/>
      <c r="AB120" s="130"/>
      <c r="AC120" s="115"/>
      <c r="AD120" s="115"/>
      <c r="AE120" s="219"/>
      <c r="AF120" s="219"/>
      <c r="AG120" s="115"/>
      <c r="AH120" s="115"/>
      <c r="AI120" s="130"/>
      <c r="AJ120" s="130"/>
      <c r="AK120" s="115"/>
      <c r="AL120" s="115"/>
      <c r="AM120" s="219"/>
      <c r="AN120" s="219"/>
      <c r="AO120" s="115"/>
      <c r="AP120" s="115"/>
      <c r="AQ120" s="130"/>
      <c r="AR120" s="130"/>
      <c r="AS120" s="115"/>
      <c r="AT120" s="115"/>
      <c r="AU120" s="219"/>
      <c r="AV120" s="115"/>
      <c r="AW120" s="115"/>
      <c r="AX120" s="115"/>
      <c r="AY120" s="115">
        <v>1.5</v>
      </c>
      <c r="AZ120" s="115">
        <v>1.5</v>
      </c>
      <c r="BA120" s="115">
        <v>1.5</v>
      </c>
      <c r="BB120" s="219"/>
      <c r="BC120" s="411"/>
      <c r="BD120" s="324"/>
    </row>
    <row r="121" spans="1:56" ht="15.75" thickTop="1">
      <c r="A121" s="432" t="s">
        <v>103</v>
      </c>
      <c r="B121" s="426" t="s">
        <v>104</v>
      </c>
      <c r="C121" s="426" t="s">
        <v>105</v>
      </c>
      <c r="D121" s="17">
        <f t="shared" si="9"/>
        <v>6</v>
      </c>
      <c r="E121" s="17">
        <v>0</v>
      </c>
      <c r="F121" s="15" t="s">
        <v>33</v>
      </c>
      <c r="G121" s="17">
        <v>9</v>
      </c>
      <c r="H121" s="17">
        <f t="shared" si="10"/>
        <v>0</v>
      </c>
      <c r="I121" s="286" t="s">
        <v>34</v>
      </c>
      <c r="J121" s="407" t="s">
        <v>35</v>
      </c>
      <c r="K121" s="118"/>
      <c r="L121" s="114"/>
      <c r="M121" s="220"/>
      <c r="N121" s="220"/>
      <c r="O121" s="114"/>
      <c r="P121" s="114"/>
      <c r="Q121" s="114"/>
      <c r="R121" s="121"/>
      <c r="S121" s="121"/>
      <c r="T121" s="114"/>
      <c r="U121" s="114"/>
      <c r="V121" s="114"/>
      <c r="W121" s="220"/>
      <c r="X121" s="220"/>
      <c r="Y121" s="114"/>
      <c r="Z121" s="114"/>
      <c r="AA121" s="128"/>
      <c r="AB121" s="128"/>
      <c r="AC121" s="114"/>
      <c r="AD121" s="114"/>
      <c r="AE121" s="220"/>
      <c r="AF121" s="220">
        <v>1.5</v>
      </c>
      <c r="AG121" s="114">
        <v>1.5</v>
      </c>
      <c r="AH121" s="114">
        <v>1.5</v>
      </c>
      <c r="AI121" s="128"/>
      <c r="AJ121" s="128"/>
      <c r="AK121" s="114">
        <v>1.5</v>
      </c>
      <c r="AL121" s="114">
        <v>1.5</v>
      </c>
      <c r="AM121" s="220">
        <v>1.5</v>
      </c>
      <c r="AN121" s="220"/>
      <c r="AO121" s="114"/>
      <c r="AP121" s="114"/>
      <c r="AQ121" s="128"/>
      <c r="AR121" s="128"/>
      <c r="AS121" s="114"/>
      <c r="AT121" s="114"/>
      <c r="AU121" s="220"/>
      <c r="AV121" s="114"/>
      <c r="AW121" s="114"/>
      <c r="AX121" s="114"/>
      <c r="AY121" s="114"/>
      <c r="AZ121" s="114"/>
      <c r="BA121" s="114"/>
      <c r="BB121" s="220"/>
      <c r="BC121" s="409"/>
      <c r="BD121" s="322"/>
    </row>
    <row r="122" spans="1:56">
      <c r="A122" s="433"/>
      <c r="B122" s="427"/>
      <c r="C122" s="430"/>
      <c r="D122" s="5">
        <f t="shared" si="9"/>
        <v>7</v>
      </c>
      <c r="E122" s="5">
        <v>0</v>
      </c>
      <c r="F122" s="10" t="s">
        <v>36</v>
      </c>
      <c r="G122" s="5">
        <v>10.5</v>
      </c>
      <c r="H122" s="5">
        <f t="shared" si="10"/>
        <v>0</v>
      </c>
      <c r="I122" s="287" t="s">
        <v>34</v>
      </c>
      <c r="J122" s="408"/>
      <c r="K122" s="119"/>
      <c r="L122" s="33"/>
      <c r="M122" s="218"/>
      <c r="N122" s="218"/>
      <c r="O122" s="33"/>
      <c r="P122" s="33"/>
      <c r="Q122" s="33"/>
      <c r="R122" s="122"/>
      <c r="S122" s="122"/>
      <c r="T122" s="33"/>
      <c r="U122" s="33"/>
      <c r="V122" s="33"/>
      <c r="W122" s="218"/>
      <c r="X122" s="218"/>
      <c r="Y122" s="33"/>
      <c r="Z122" s="33"/>
      <c r="AA122" s="129"/>
      <c r="AB122" s="129"/>
      <c r="AC122" s="33"/>
      <c r="AD122" s="33"/>
      <c r="AE122" s="218"/>
      <c r="AF122" s="218"/>
      <c r="AG122" s="33">
        <v>1.5</v>
      </c>
      <c r="AH122" s="33">
        <v>1.5</v>
      </c>
      <c r="AI122" s="129"/>
      <c r="AJ122" s="129"/>
      <c r="AK122" s="33">
        <v>1.5</v>
      </c>
      <c r="AL122" s="33">
        <v>1.5</v>
      </c>
      <c r="AM122" s="218">
        <v>1.5</v>
      </c>
      <c r="AN122" s="218">
        <v>1.5</v>
      </c>
      <c r="AO122" s="33">
        <v>1.5</v>
      </c>
      <c r="AP122" s="33"/>
      <c r="AQ122" s="129"/>
      <c r="AR122" s="129"/>
      <c r="AS122" s="33"/>
      <c r="AT122" s="33"/>
      <c r="AU122" s="218"/>
      <c r="AV122" s="33"/>
      <c r="AW122" s="33"/>
      <c r="AX122" s="33"/>
      <c r="AY122" s="33"/>
      <c r="AZ122" s="33"/>
      <c r="BA122" s="33"/>
      <c r="BB122" s="218"/>
      <c r="BC122" s="410"/>
      <c r="BD122" s="345"/>
    </row>
    <row r="123" spans="1:56">
      <c r="A123" s="433"/>
      <c r="B123" s="427"/>
      <c r="C123" s="430"/>
      <c r="D123" s="5">
        <f t="shared" si="9"/>
        <v>3</v>
      </c>
      <c r="E123" s="5">
        <v>0</v>
      </c>
      <c r="F123" s="10" t="s">
        <v>39</v>
      </c>
      <c r="G123" s="5">
        <v>6</v>
      </c>
      <c r="H123" s="5">
        <f t="shared" si="10"/>
        <v>0</v>
      </c>
      <c r="I123" s="5">
        <v>129</v>
      </c>
      <c r="J123" s="408"/>
      <c r="K123" s="119"/>
      <c r="L123" s="33"/>
      <c r="M123" s="218"/>
      <c r="N123" s="218"/>
      <c r="O123" s="33"/>
      <c r="P123" s="33"/>
      <c r="Q123" s="33"/>
      <c r="R123" s="122"/>
      <c r="S123" s="122"/>
      <c r="T123" s="33"/>
      <c r="U123" s="33"/>
      <c r="V123" s="33"/>
      <c r="W123" s="218"/>
      <c r="X123" s="218"/>
      <c r="Y123" s="33"/>
      <c r="Z123" s="33"/>
      <c r="AA123" s="129"/>
      <c r="AB123" s="129"/>
      <c r="AC123" s="33"/>
      <c r="AD123" s="33"/>
      <c r="AE123" s="218"/>
      <c r="AF123" s="218"/>
      <c r="AG123" s="33"/>
      <c r="AH123" s="33"/>
      <c r="AI123" s="129"/>
      <c r="AJ123" s="129"/>
      <c r="AK123" s="33"/>
      <c r="AL123" s="33"/>
      <c r="AM123" s="218"/>
      <c r="AN123" s="218"/>
      <c r="AO123" s="33"/>
      <c r="AP123" s="33"/>
      <c r="AQ123" s="129"/>
      <c r="AR123" s="129"/>
      <c r="AS123" s="33">
        <v>2</v>
      </c>
      <c r="AT123" s="33">
        <v>2</v>
      </c>
      <c r="AU123" s="218">
        <v>2</v>
      </c>
      <c r="AV123" s="33"/>
      <c r="AW123" s="33"/>
      <c r="AX123" s="33"/>
      <c r="AY123" s="33"/>
      <c r="AZ123" s="33"/>
      <c r="BA123" s="33"/>
      <c r="BB123" s="218"/>
      <c r="BC123" s="410"/>
      <c r="BD123" s="345"/>
    </row>
    <row r="124" spans="1:56">
      <c r="A124" s="433"/>
      <c r="B124" s="427"/>
      <c r="C124" s="430"/>
      <c r="D124" s="5">
        <f t="shared" si="9"/>
        <v>6</v>
      </c>
      <c r="E124" s="5">
        <v>1</v>
      </c>
      <c r="F124" s="10" t="s">
        <v>33</v>
      </c>
      <c r="G124" s="5">
        <v>9</v>
      </c>
      <c r="H124" s="5">
        <f t="shared" si="10"/>
        <v>0</v>
      </c>
      <c r="I124" s="287" t="s">
        <v>34</v>
      </c>
      <c r="J124" s="408" t="s">
        <v>37</v>
      </c>
      <c r="K124" s="119"/>
      <c r="L124" s="33"/>
      <c r="M124" s="218"/>
      <c r="N124" s="218"/>
      <c r="O124" s="33"/>
      <c r="P124" s="33"/>
      <c r="Q124" s="33"/>
      <c r="R124" s="122"/>
      <c r="S124" s="122"/>
      <c r="T124" s="33"/>
      <c r="U124" s="33"/>
      <c r="V124" s="33"/>
      <c r="W124" s="218"/>
      <c r="X124" s="218"/>
      <c r="Y124" s="33"/>
      <c r="Z124" s="33"/>
      <c r="AA124" s="129"/>
      <c r="AB124" s="129"/>
      <c r="AC124" s="33"/>
      <c r="AD124" s="33"/>
      <c r="AE124" s="218"/>
      <c r="AF124" s="218"/>
      <c r="AG124" s="33">
        <v>1.5</v>
      </c>
      <c r="AH124" s="33">
        <v>1.5</v>
      </c>
      <c r="AI124" s="129"/>
      <c r="AJ124" s="129"/>
      <c r="AK124" s="33">
        <v>1.5</v>
      </c>
      <c r="AL124" s="33">
        <v>1.5</v>
      </c>
      <c r="AM124" s="218"/>
      <c r="AN124" s="218"/>
      <c r="AO124" s="33">
        <v>1.5</v>
      </c>
      <c r="AP124" s="33"/>
      <c r="AQ124" s="129"/>
      <c r="AR124" s="129"/>
      <c r="AS124" s="33">
        <v>1.5</v>
      </c>
      <c r="AT124" s="33"/>
      <c r="AU124" s="218"/>
      <c r="AV124" s="33"/>
      <c r="AW124" s="33"/>
      <c r="AX124" s="33"/>
      <c r="AY124" s="33"/>
      <c r="AZ124" s="33"/>
      <c r="BA124" s="33"/>
      <c r="BB124" s="218"/>
      <c r="BC124" s="410"/>
      <c r="BD124" s="345"/>
    </row>
    <row r="125" spans="1:56">
      <c r="A125" s="433"/>
      <c r="B125" s="427"/>
      <c r="C125" s="430"/>
      <c r="D125" s="5">
        <f t="shared" si="9"/>
        <v>7</v>
      </c>
      <c r="E125" s="5">
        <v>1</v>
      </c>
      <c r="F125" s="10" t="s">
        <v>36</v>
      </c>
      <c r="G125" s="5">
        <v>10.5</v>
      </c>
      <c r="H125" s="5">
        <f t="shared" si="10"/>
        <v>0</v>
      </c>
      <c r="I125" s="287" t="s">
        <v>34</v>
      </c>
      <c r="J125" s="408"/>
      <c r="K125" s="119"/>
      <c r="L125" s="33"/>
      <c r="M125" s="218"/>
      <c r="N125" s="218"/>
      <c r="O125" s="33"/>
      <c r="P125" s="33"/>
      <c r="Q125" s="33"/>
      <c r="R125" s="122"/>
      <c r="S125" s="122"/>
      <c r="T125" s="33"/>
      <c r="U125" s="33"/>
      <c r="V125" s="33"/>
      <c r="W125" s="218"/>
      <c r="X125" s="218"/>
      <c r="Y125" s="33"/>
      <c r="Z125" s="33"/>
      <c r="AA125" s="129"/>
      <c r="AB125" s="129"/>
      <c r="AC125" s="33"/>
      <c r="AD125" s="33"/>
      <c r="AE125" s="218"/>
      <c r="AF125" s="218"/>
      <c r="AG125" s="33"/>
      <c r="AH125" s="33"/>
      <c r="AI125" s="129"/>
      <c r="AJ125" s="129"/>
      <c r="AK125" s="33"/>
      <c r="AL125" s="33">
        <v>1.5</v>
      </c>
      <c r="AM125" s="218"/>
      <c r="AN125" s="218"/>
      <c r="AO125" s="33">
        <v>1.5</v>
      </c>
      <c r="AP125" s="33"/>
      <c r="AQ125" s="129"/>
      <c r="AR125" s="129"/>
      <c r="AS125" s="33">
        <v>1.5</v>
      </c>
      <c r="AT125" s="33">
        <v>1.5</v>
      </c>
      <c r="AU125" s="218"/>
      <c r="AV125" s="33">
        <v>1.5</v>
      </c>
      <c r="AW125" s="33">
        <v>1.5</v>
      </c>
      <c r="AX125" s="33">
        <v>1.5</v>
      </c>
      <c r="AY125" s="33"/>
      <c r="AZ125" s="33"/>
      <c r="BA125" s="33"/>
      <c r="BB125" s="218"/>
      <c r="BC125" s="410"/>
      <c r="BD125" s="345"/>
    </row>
    <row r="126" spans="1:56">
      <c r="A126" s="433"/>
      <c r="B126" s="427"/>
      <c r="C126" s="430"/>
      <c r="D126" s="5">
        <f t="shared" si="9"/>
        <v>3</v>
      </c>
      <c r="E126" s="5">
        <v>1</v>
      </c>
      <c r="F126" s="10" t="s">
        <v>39</v>
      </c>
      <c r="G126" s="5">
        <v>6</v>
      </c>
      <c r="H126" s="5">
        <f t="shared" si="10"/>
        <v>0</v>
      </c>
      <c r="I126" s="5">
        <v>129</v>
      </c>
      <c r="J126" s="408"/>
      <c r="K126" s="119"/>
      <c r="L126" s="33"/>
      <c r="M126" s="218"/>
      <c r="N126" s="218"/>
      <c r="O126" s="33"/>
      <c r="P126" s="33"/>
      <c r="Q126" s="33"/>
      <c r="R126" s="122"/>
      <c r="S126" s="122"/>
      <c r="T126" s="33"/>
      <c r="U126" s="33"/>
      <c r="V126" s="33"/>
      <c r="W126" s="218"/>
      <c r="X126" s="218"/>
      <c r="Y126" s="33"/>
      <c r="Z126" s="33"/>
      <c r="AA126" s="129"/>
      <c r="AB126" s="129"/>
      <c r="AC126" s="33"/>
      <c r="AD126" s="33"/>
      <c r="AE126" s="218"/>
      <c r="AF126" s="218"/>
      <c r="AG126" s="33"/>
      <c r="AH126" s="33"/>
      <c r="AI126" s="129"/>
      <c r="AJ126" s="129"/>
      <c r="AK126" s="33"/>
      <c r="AL126" s="33"/>
      <c r="AM126" s="218"/>
      <c r="AN126" s="218"/>
      <c r="AO126" s="33"/>
      <c r="AP126" s="33"/>
      <c r="AQ126" s="129"/>
      <c r="AR126" s="129"/>
      <c r="AS126" s="33"/>
      <c r="AT126" s="33"/>
      <c r="AU126" s="218"/>
      <c r="AV126" s="33"/>
      <c r="AW126" s="33"/>
      <c r="AY126" s="33">
        <v>2</v>
      </c>
      <c r="AZ126" s="33">
        <v>2</v>
      </c>
      <c r="BA126" s="33">
        <v>2</v>
      </c>
      <c r="BB126" s="218"/>
      <c r="BC126" s="410"/>
      <c r="BD126" s="345"/>
    </row>
    <row r="127" spans="1:56">
      <c r="A127" s="433"/>
      <c r="B127" s="427"/>
      <c r="C127" s="427" t="s">
        <v>106</v>
      </c>
      <c r="D127" s="7">
        <f t="shared" si="9"/>
        <v>6</v>
      </c>
      <c r="E127" s="7">
        <v>0</v>
      </c>
      <c r="F127" s="25" t="s">
        <v>33</v>
      </c>
      <c r="G127" s="7">
        <v>9</v>
      </c>
      <c r="H127" s="7">
        <f t="shared" si="10"/>
        <v>0</v>
      </c>
      <c r="I127" s="7" t="s">
        <v>34</v>
      </c>
      <c r="J127" s="408" t="s">
        <v>35</v>
      </c>
      <c r="K127" s="119"/>
      <c r="L127" s="33"/>
      <c r="M127" s="218"/>
      <c r="N127" s="218"/>
      <c r="O127" s="33"/>
      <c r="P127" s="33"/>
      <c r="Q127" s="33"/>
      <c r="R127" s="122"/>
      <c r="S127" s="122"/>
      <c r="T127" s="33"/>
      <c r="U127" s="33"/>
      <c r="V127" s="33"/>
      <c r="W127" s="218"/>
      <c r="X127" s="218"/>
      <c r="Y127" s="33"/>
      <c r="Z127" s="33"/>
      <c r="AA127" s="129"/>
      <c r="AB127" s="129"/>
      <c r="AC127" s="33"/>
      <c r="AD127" s="33"/>
      <c r="AE127" s="218">
        <v>1.5</v>
      </c>
      <c r="AF127" s="218">
        <v>1.5</v>
      </c>
      <c r="AG127" s="33">
        <v>1.5</v>
      </c>
      <c r="AH127" s="33">
        <v>1.5</v>
      </c>
      <c r="AI127" s="129"/>
      <c r="AJ127" s="129"/>
      <c r="AK127" s="33">
        <v>1.5</v>
      </c>
      <c r="AL127" s="33">
        <v>1.5</v>
      </c>
      <c r="AM127" s="218"/>
      <c r="AN127" s="218"/>
      <c r="AO127" s="33"/>
      <c r="AP127" s="33"/>
      <c r="AQ127" s="129"/>
      <c r="AR127" s="129"/>
      <c r="AS127" s="33"/>
      <c r="AT127" s="33"/>
      <c r="AU127" s="218"/>
      <c r="AV127" s="33"/>
      <c r="AW127" s="33"/>
      <c r="AX127" s="33"/>
      <c r="AY127" s="33"/>
      <c r="AZ127" s="33"/>
      <c r="BA127" s="33"/>
      <c r="BB127" s="218"/>
      <c r="BC127" s="410"/>
      <c r="BD127" s="345"/>
    </row>
    <row r="128" spans="1:56">
      <c r="A128" s="433"/>
      <c r="B128" s="427"/>
      <c r="C128" s="430"/>
      <c r="D128" s="5">
        <f t="shared" si="9"/>
        <v>7</v>
      </c>
      <c r="E128" s="5">
        <v>0</v>
      </c>
      <c r="F128" s="10" t="s">
        <v>36</v>
      </c>
      <c r="G128" s="5">
        <v>10.5</v>
      </c>
      <c r="H128" s="5">
        <f t="shared" si="10"/>
        <v>0</v>
      </c>
      <c r="I128" s="287" t="s">
        <v>34</v>
      </c>
      <c r="J128" s="408"/>
      <c r="K128" s="119"/>
      <c r="L128" s="33"/>
      <c r="M128" s="218"/>
      <c r="N128" s="218"/>
      <c r="O128" s="33"/>
      <c r="P128" s="33"/>
      <c r="Q128" s="33"/>
      <c r="R128" s="122"/>
      <c r="S128" s="122"/>
      <c r="T128" s="33"/>
      <c r="U128" s="33"/>
      <c r="V128" s="33"/>
      <c r="W128" s="218"/>
      <c r="X128" s="218"/>
      <c r="Y128" s="33"/>
      <c r="Z128" s="33"/>
      <c r="AA128" s="129"/>
      <c r="AB128" s="129"/>
      <c r="AC128" s="33"/>
      <c r="AD128" s="33"/>
      <c r="AE128" s="218">
        <v>1.5</v>
      </c>
      <c r="AF128" s="218">
        <v>1.5</v>
      </c>
      <c r="AG128" s="33">
        <v>1.5</v>
      </c>
      <c r="AH128" s="33">
        <v>1.5</v>
      </c>
      <c r="AI128" s="129"/>
      <c r="AJ128" s="129"/>
      <c r="AK128" s="33">
        <v>1.5</v>
      </c>
      <c r="AL128" s="33">
        <v>1.5</v>
      </c>
      <c r="AM128" s="218">
        <v>1.5</v>
      </c>
      <c r="AN128" s="218"/>
      <c r="AO128" s="33"/>
      <c r="AP128" s="33"/>
      <c r="AQ128" s="129"/>
      <c r="AR128" s="129"/>
      <c r="AS128" s="33"/>
      <c r="AT128" s="33"/>
      <c r="AU128" s="218"/>
      <c r="AV128" s="33"/>
      <c r="AW128" s="33"/>
      <c r="AX128" s="33"/>
      <c r="AY128" s="33"/>
      <c r="AZ128" s="33"/>
      <c r="BA128" s="33"/>
      <c r="BB128" s="218"/>
      <c r="BC128" s="410"/>
      <c r="BD128" s="345"/>
    </row>
    <row r="129" spans="1:56">
      <c r="A129" s="433"/>
      <c r="B129" s="427"/>
      <c r="C129" s="430"/>
      <c r="D129" s="5">
        <f t="shared" si="9"/>
        <v>6</v>
      </c>
      <c r="E129" s="5">
        <v>1</v>
      </c>
      <c r="F129" s="10" t="s">
        <v>33</v>
      </c>
      <c r="G129" s="5">
        <v>9</v>
      </c>
      <c r="H129" s="5">
        <f t="shared" si="10"/>
        <v>0</v>
      </c>
      <c r="I129" s="287" t="s">
        <v>34</v>
      </c>
      <c r="J129" s="408" t="s">
        <v>37</v>
      </c>
      <c r="K129" s="119"/>
      <c r="L129" s="33"/>
      <c r="M129" s="218"/>
      <c r="N129" s="218"/>
      <c r="O129" s="33"/>
      <c r="P129" s="33"/>
      <c r="Q129" s="33"/>
      <c r="R129" s="122"/>
      <c r="S129" s="122"/>
      <c r="T129" s="33"/>
      <c r="U129" s="33"/>
      <c r="V129" s="33"/>
      <c r="W129" s="218"/>
      <c r="X129" s="218"/>
      <c r="Y129" s="33"/>
      <c r="Z129" s="33"/>
      <c r="AA129" s="129"/>
      <c r="AB129" s="129"/>
      <c r="AC129" s="33"/>
      <c r="AD129" s="33"/>
      <c r="AE129" s="218"/>
      <c r="AF129" s="218"/>
      <c r="AG129" s="33"/>
      <c r="AH129" s="33">
        <v>1.5</v>
      </c>
      <c r="AI129" s="129"/>
      <c r="AJ129" s="129"/>
      <c r="AK129" s="33">
        <v>1.5</v>
      </c>
      <c r="AL129" s="33">
        <v>1.5</v>
      </c>
      <c r="AM129" s="218"/>
      <c r="AN129" s="218"/>
      <c r="AO129" s="33"/>
      <c r="AP129" s="33"/>
      <c r="AQ129" s="129"/>
      <c r="AR129" s="129"/>
      <c r="AS129" s="33"/>
      <c r="AT129" s="33">
        <v>1.5</v>
      </c>
      <c r="AU129" s="218"/>
      <c r="AV129" s="33">
        <v>1.5</v>
      </c>
      <c r="AW129" s="33">
        <v>1.5</v>
      </c>
      <c r="AX129" s="33"/>
      <c r="AY129" s="33"/>
      <c r="AZ129" s="33"/>
      <c r="BA129" s="33"/>
      <c r="BB129" s="218"/>
      <c r="BC129" s="410"/>
      <c r="BD129" s="345"/>
    </row>
    <row r="130" spans="1:56" ht="15.75" thickBot="1">
      <c r="A130" s="434"/>
      <c r="B130" s="428"/>
      <c r="C130" s="431"/>
      <c r="D130" s="18">
        <f t="shared" si="9"/>
        <v>7</v>
      </c>
      <c r="E130" s="18">
        <v>1</v>
      </c>
      <c r="F130" s="16" t="s">
        <v>36</v>
      </c>
      <c r="G130" s="18">
        <v>10.5</v>
      </c>
      <c r="H130" s="18">
        <f t="shared" si="10"/>
        <v>0</v>
      </c>
      <c r="I130" s="288" t="s">
        <v>34</v>
      </c>
      <c r="J130" s="412"/>
      <c r="K130" s="120"/>
      <c r="L130" s="115"/>
      <c r="M130" s="219"/>
      <c r="N130" s="219"/>
      <c r="O130" s="115"/>
      <c r="P130" s="115"/>
      <c r="Q130" s="115"/>
      <c r="R130" s="123"/>
      <c r="S130" s="123"/>
      <c r="T130" s="115"/>
      <c r="U130" s="115"/>
      <c r="V130" s="115"/>
      <c r="W130" s="219"/>
      <c r="X130" s="219"/>
      <c r="Y130" s="115"/>
      <c r="Z130" s="115"/>
      <c r="AA130" s="130"/>
      <c r="AB130" s="130"/>
      <c r="AC130" s="115"/>
      <c r="AD130" s="115"/>
      <c r="AE130" s="219"/>
      <c r="AF130" s="219"/>
      <c r="AG130" s="115"/>
      <c r="AH130" s="115">
        <v>1.5</v>
      </c>
      <c r="AI130" s="130"/>
      <c r="AJ130" s="130"/>
      <c r="AK130" s="115">
        <v>1.5</v>
      </c>
      <c r="AL130" s="115">
        <v>1.5</v>
      </c>
      <c r="AM130" s="219"/>
      <c r="AN130" s="219"/>
      <c r="AO130" s="115">
        <v>1.5</v>
      </c>
      <c r="AP130" s="115">
        <v>1.5</v>
      </c>
      <c r="AQ130" s="130"/>
      <c r="AR130" s="130"/>
      <c r="AS130" s="115">
        <v>1.5</v>
      </c>
      <c r="AT130" s="115"/>
      <c r="AU130" s="219"/>
      <c r="AV130" s="115"/>
      <c r="AW130" s="115"/>
      <c r="AX130" s="115">
        <v>1.5</v>
      </c>
      <c r="AY130" s="115"/>
      <c r="AZ130" s="115"/>
      <c r="BA130" s="115"/>
      <c r="BB130" s="219"/>
      <c r="BC130" s="411"/>
      <c r="BD130" s="324"/>
    </row>
    <row r="131" spans="1:56" ht="15.75" thickTop="1">
      <c r="A131" s="423" t="s">
        <v>107</v>
      </c>
      <c r="B131" s="426" t="s">
        <v>108</v>
      </c>
      <c r="C131" s="435" t="s">
        <v>109</v>
      </c>
      <c r="D131" s="17">
        <f t="shared" si="9"/>
        <v>10</v>
      </c>
      <c r="E131" s="17">
        <v>0</v>
      </c>
      <c r="F131" s="15" t="s">
        <v>33</v>
      </c>
      <c r="G131" s="17">
        <v>15</v>
      </c>
      <c r="H131" s="17">
        <f t="shared" si="10"/>
        <v>0</v>
      </c>
      <c r="I131" s="286" t="s">
        <v>34</v>
      </c>
      <c r="J131" s="407" t="s">
        <v>35</v>
      </c>
      <c r="K131" s="118"/>
      <c r="L131" s="114"/>
      <c r="M131" s="220"/>
      <c r="N131" s="220"/>
      <c r="O131" s="114"/>
      <c r="P131" s="114"/>
      <c r="Q131" s="114"/>
      <c r="R131" s="121"/>
      <c r="S131" s="121"/>
      <c r="T131" s="114"/>
      <c r="U131" s="114"/>
      <c r="V131" s="114"/>
      <c r="W131" s="220"/>
      <c r="X131" s="220"/>
      <c r="Y131" s="114"/>
      <c r="Z131" s="114"/>
      <c r="AA131" s="128"/>
      <c r="AB131" s="128"/>
      <c r="AC131" s="114"/>
      <c r="AD131" s="114"/>
      <c r="AE131" s="220">
        <v>1.5</v>
      </c>
      <c r="AF131" s="220">
        <v>1.5</v>
      </c>
      <c r="AG131" s="114">
        <v>1.5</v>
      </c>
      <c r="AH131" s="114">
        <v>1.5</v>
      </c>
      <c r="AI131" s="128"/>
      <c r="AJ131" s="128"/>
      <c r="AK131" s="114">
        <v>1.5</v>
      </c>
      <c r="AL131" s="114">
        <v>1.5</v>
      </c>
      <c r="AM131" s="220">
        <v>1.5</v>
      </c>
      <c r="AN131" s="220">
        <v>1.5</v>
      </c>
      <c r="AO131" s="114">
        <v>1.5</v>
      </c>
      <c r="AP131" s="114">
        <v>1.5</v>
      </c>
      <c r="AQ131" s="128"/>
      <c r="AR131" s="128"/>
      <c r="AS131" s="114"/>
      <c r="AT131" s="114"/>
      <c r="AU131" s="220"/>
      <c r="AV131" s="114"/>
      <c r="AW131" s="114"/>
      <c r="AX131" s="114"/>
      <c r="AY131" s="114"/>
      <c r="AZ131" s="114"/>
      <c r="BA131" s="114"/>
      <c r="BB131" s="220"/>
      <c r="BC131" s="409"/>
      <c r="BD131" s="322"/>
    </row>
    <row r="132" spans="1:56">
      <c r="A132" s="424"/>
      <c r="B132" s="427"/>
      <c r="C132" s="436"/>
      <c r="D132" s="5">
        <f t="shared" si="9"/>
        <v>10</v>
      </c>
      <c r="E132" s="5">
        <v>0</v>
      </c>
      <c r="F132" s="10" t="s">
        <v>36</v>
      </c>
      <c r="G132" s="5">
        <v>15</v>
      </c>
      <c r="H132" s="5">
        <f t="shared" si="10"/>
        <v>0</v>
      </c>
      <c r="I132" s="287" t="s">
        <v>34</v>
      </c>
      <c r="J132" s="408"/>
      <c r="K132" s="119"/>
      <c r="L132" s="33"/>
      <c r="M132" s="218"/>
      <c r="N132" s="218"/>
      <c r="O132" s="33"/>
      <c r="P132" s="33"/>
      <c r="Q132" s="33"/>
      <c r="R132" s="122"/>
      <c r="S132" s="122"/>
      <c r="T132" s="33"/>
      <c r="U132" s="33"/>
      <c r="V132" s="33"/>
      <c r="W132" s="218"/>
      <c r="X132" s="218"/>
      <c r="Y132" s="33"/>
      <c r="Z132" s="33"/>
      <c r="AA132" s="129"/>
      <c r="AB132" s="129"/>
      <c r="AC132" s="33"/>
      <c r="AD132" s="33"/>
      <c r="AE132" s="218">
        <v>1.5</v>
      </c>
      <c r="AF132" s="218">
        <v>1.5</v>
      </c>
      <c r="AG132" s="33">
        <v>1.5</v>
      </c>
      <c r="AH132" s="33">
        <v>1.5</v>
      </c>
      <c r="AI132" s="129"/>
      <c r="AJ132" s="129"/>
      <c r="AK132" s="33">
        <v>1.5</v>
      </c>
      <c r="AL132" s="33">
        <v>1.5</v>
      </c>
      <c r="AM132" s="218">
        <v>1.5</v>
      </c>
      <c r="AN132" s="218">
        <v>1.5</v>
      </c>
      <c r="AO132" s="33">
        <v>1.5</v>
      </c>
      <c r="AP132" s="33">
        <v>1.5</v>
      </c>
      <c r="AQ132" s="129"/>
      <c r="AR132" s="129"/>
      <c r="AS132" s="33"/>
      <c r="AT132" s="33"/>
      <c r="AU132" s="218"/>
      <c r="AV132" s="33"/>
      <c r="AW132" s="33"/>
      <c r="AX132" s="33"/>
      <c r="AY132" s="33"/>
      <c r="AZ132" s="33"/>
      <c r="BA132" s="33"/>
      <c r="BB132" s="218"/>
      <c r="BC132" s="410"/>
      <c r="BD132" s="345"/>
    </row>
    <row r="133" spans="1:56">
      <c r="A133" s="424"/>
      <c r="B133" s="427"/>
      <c r="C133" s="436"/>
      <c r="D133" s="5">
        <f t="shared" si="9"/>
        <v>5</v>
      </c>
      <c r="E133" s="5">
        <v>0</v>
      </c>
      <c r="F133" s="10" t="s">
        <v>53</v>
      </c>
      <c r="G133" s="5">
        <v>15</v>
      </c>
      <c r="H133" s="5">
        <f t="shared" si="10"/>
        <v>0</v>
      </c>
      <c r="I133" s="287">
        <v>127</v>
      </c>
      <c r="J133" s="408"/>
      <c r="K133" s="119"/>
      <c r="L133" s="33"/>
      <c r="M133" s="218"/>
      <c r="N133" s="218"/>
      <c r="O133" s="33"/>
      <c r="P133" s="33"/>
      <c r="Q133" s="33"/>
      <c r="R133" s="122"/>
      <c r="S133" s="122"/>
      <c r="T133" s="33"/>
      <c r="U133" s="33"/>
      <c r="V133" s="33"/>
      <c r="W133" s="218"/>
      <c r="X133" s="218"/>
      <c r="Y133" s="33"/>
      <c r="Z133" s="33"/>
      <c r="AA133" s="129"/>
      <c r="AB133" s="129"/>
      <c r="AC133" s="33"/>
      <c r="AD133" s="33"/>
      <c r="AE133" s="218"/>
      <c r="AF133" s="218"/>
      <c r="AG133" s="33"/>
      <c r="AH133" s="33"/>
      <c r="AI133" s="129"/>
      <c r="AJ133" s="129"/>
      <c r="AK133" s="33"/>
      <c r="AL133" s="33"/>
      <c r="AM133" s="218"/>
      <c r="AN133" s="218"/>
      <c r="AO133" s="33"/>
      <c r="AP133" s="33"/>
      <c r="AQ133" s="129"/>
      <c r="AR133" s="129"/>
      <c r="AS133" s="33"/>
      <c r="AT133" s="33"/>
      <c r="AU133" s="218">
        <v>3</v>
      </c>
      <c r="AV133" s="33">
        <v>3</v>
      </c>
      <c r="AW133" s="33">
        <v>3</v>
      </c>
      <c r="AX133" s="33">
        <v>3</v>
      </c>
      <c r="AY133" s="33">
        <v>3</v>
      </c>
      <c r="AZ133" s="33"/>
      <c r="BA133" s="33"/>
      <c r="BB133" s="218"/>
      <c r="BC133" s="410"/>
      <c r="BD133" s="345"/>
    </row>
    <row r="134" spans="1:56">
      <c r="A134" s="424"/>
      <c r="B134" s="427"/>
      <c r="C134" s="436"/>
      <c r="D134" s="7">
        <f t="shared" si="9"/>
        <v>10</v>
      </c>
      <c r="E134" s="7">
        <v>1</v>
      </c>
      <c r="F134" s="25" t="s">
        <v>33</v>
      </c>
      <c r="G134" s="7">
        <v>15</v>
      </c>
      <c r="H134" s="7">
        <f t="shared" si="10"/>
        <v>0</v>
      </c>
      <c r="I134" s="7" t="s">
        <v>34</v>
      </c>
      <c r="J134" s="408" t="s">
        <v>37</v>
      </c>
      <c r="K134" s="119"/>
      <c r="L134" s="33"/>
      <c r="M134" s="218"/>
      <c r="N134" s="218"/>
      <c r="O134" s="33"/>
      <c r="P134" s="33"/>
      <c r="Q134" s="33"/>
      <c r="R134" s="122"/>
      <c r="S134" s="122"/>
      <c r="T134" s="33"/>
      <c r="U134" s="33"/>
      <c r="V134" s="33"/>
      <c r="W134" s="218"/>
      <c r="X134" s="218"/>
      <c r="Y134" s="33"/>
      <c r="Z134" s="33"/>
      <c r="AA134" s="129"/>
      <c r="AB134" s="129"/>
      <c r="AC134" s="33"/>
      <c r="AD134" s="33"/>
      <c r="AE134" s="218"/>
      <c r="AF134" s="218"/>
      <c r="AG134" s="33">
        <v>1.5</v>
      </c>
      <c r="AH134" s="33">
        <v>1.5</v>
      </c>
      <c r="AI134" s="129"/>
      <c r="AJ134" s="129"/>
      <c r="AK134" s="33">
        <v>1.5</v>
      </c>
      <c r="AL134" s="33"/>
      <c r="AM134" s="218"/>
      <c r="AN134" s="218"/>
      <c r="AO134" s="33">
        <v>1.5</v>
      </c>
      <c r="AP134" s="33">
        <v>1.5</v>
      </c>
      <c r="AQ134" s="129"/>
      <c r="AR134" s="129"/>
      <c r="AS134" s="33">
        <v>1.5</v>
      </c>
      <c r="AT134" s="33">
        <v>1.5</v>
      </c>
      <c r="AU134" s="218"/>
      <c r="AV134" s="33">
        <v>1.5</v>
      </c>
      <c r="AW134" s="33">
        <v>1.5</v>
      </c>
      <c r="AX134" s="33">
        <v>1.5</v>
      </c>
      <c r="AY134" s="33"/>
      <c r="AZ134" s="33"/>
      <c r="BA134" s="33"/>
      <c r="BB134" s="218"/>
      <c r="BC134" s="410"/>
      <c r="BD134" s="345"/>
    </row>
    <row r="135" spans="1:56">
      <c r="A135" s="424"/>
      <c r="B135" s="427"/>
      <c r="C135" s="436"/>
      <c r="D135" s="5">
        <f t="shared" si="9"/>
        <v>10</v>
      </c>
      <c r="E135" s="5">
        <v>1</v>
      </c>
      <c r="F135" s="10" t="s">
        <v>36</v>
      </c>
      <c r="G135" s="5">
        <v>15</v>
      </c>
      <c r="H135" s="5">
        <f t="shared" si="10"/>
        <v>0</v>
      </c>
      <c r="I135" s="287" t="s">
        <v>34</v>
      </c>
      <c r="J135" s="408"/>
      <c r="K135" s="119"/>
      <c r="L135" s="33"/>
      <c r="M135" s="218"/>
      <c r="N135" s="218"/>
      <c r="O135" s="33"/>
      <c r="P135" s="33"/>
      <c r="Q135" s="33"/>
      <c r="R135" s="122"/>
      <c r="S135" s="122"/>
      <c r="T135" s="33"/>
      <c r="U135" s="33"/>
      <c r="V135" s="33"/>
      <c r="W135" s="218"/>
      <c r="X135" s="218"/>
      <c r="Y135" s="33"/>
      <c r="Z135" s="33"/>
      <c r="AA135" s="129"/>
      <c r="AB135" s="129"/>
      <c r="AC135" s="33"/>
      <c r="AD135" s="33"/>
      <c r="AE135" s="218"/>
      <c r="AF135" s="218"/>
      <c r="AG135" s="33">
        <v>1.5</v>
      </c>
      <c r="AH135" s="33">
        <v>1.5</v>
      </c>
      <c r="AI135" s="129"/>
      <c r="AJ135" s="129"/>
      <c r="AK135" s="33">
        <v>1.5</v>
      </c>
      <c r="AL135" s="33"/>
      <c r="AM135" s="218"/>
      <c r="AN135" s="218"/>
      <c r="AO135" s="33">
        <v>1.5</v>
      </c>
      <c r="AP135" s="33">
        <v>1.5</v>
      </c>
      <c r="AQ135" s="129"/>
      <c r="AR135" s="129"/>
      <c r="AS135" s="33">
        <v>1.5</v>
      </c>
      <c r="AT135" s="33">
        <v>1.5</v>
      </c>
      <c r="AU135" s="218"/>
      <c r="AV135" s="33">
        <v>1.5</v>
      </c>
      <c r="AW135" s="33">
        <v>1.5</v>
      </c>
      <c r="AX135" s="33">
        <v>1.5</v>
      </c>
      <c r="AY135" s="33"/>
      <c r="AZ135" s="33"/>
      <c r="BA135" s="33"/>
      <c r="BB135" s="218"/>
      <c r="BC135" s="410"/>
      <c r="BD135" s="345"/>
    </row>
    <row r="136" spans="1:56" ht="15.75" thickBot="1">
      <c r="A136" s="425"/>
      <c r="B136" s="428"/>
      <c r="C136" s="437"/>
      <c r="D136" s="18">
        <f t="shared" si="9"/>
        <v>4</v>
      </c>
      <c r="E136" s="18">
        <v>1</v>
      </c>
      <c r="F136" s="16" t="s">
        <v>53</v>
      </c>
      <c r="G136" s="18">
        <v>15</v>
      </c>
      <c r="H136" s="18">
        <f t="shared" si="10"/>
        <v>0</v>
      </c>
      <c r="I136" s="288">
        <v>127</v>
      </c>
      <c r="J136" s="412"/>
      <c r="K136" s="120"/>
      <c r="L136" s="115"/>
      <c r="M136" s="219"/>
      <c r="N136" s="219"/>
      <c r="O136" s="115"/>
      <c r="P136" s="115"/>
      <c r="Q136" s="115"/>
      <c r="R136" s="123"/>
      <c r="S136" s="123"/>
      <c r="T136" s="115"/>
      <c r="U136" s="115"/>
      <c r="V136" s="115"/>
      <c r="W136" s="219"/>
      <c r="X136" s="219"/>
      <c r="Y136" s="115"/>
      <c r="Z136" s="115"/>
      <c r="AA136" s="130"/>
      <c r="AB136" s="130"/>
      <c r="AC136" s="115"/>
      <c r="AD136" s="115"/>
      <c r="AE136" s="219"/>
      <c r="AF136" s="219"/>
      <c r="AG136" s="115"/>
      <c r="AH136" s="115"/>
      <c r="AI136" s="130"/>
      <c r="AJ136" s="130"/>
      <c r="AK136" s="115"/>
      <c r="AL136" s="115"/>
      <c r="AM136" s="219"/>
      <c r="AN136" s="219"/>
      <c r="AO136" s="115"/>
      <c r="AP136" s="115"/>
      <c r="AQ136" s="130"/>
      <c r="AR136" s="130"/>
      <c r="AS136" s="115"/>
      <c r="AT136" s="115"/>
      <c r="AU136" s="219"/>
      <c r="AV136" s="115"/>
      <c r="AW136" s="115"/>
      <c r="AX136" s="115">
        <v>3</v>
      </c>
      <c r="AY136" s="115">
        <v>3</v>
      </c>
      <c r="AZ136" s="115">
        <v>3</v>
      </c>
      <c r="BA136" s="115">
        <v>6</v>
      </c>
      <c r="BB136" s="219"/>
      <c r="BC136" s="411"/>
      <c r="BD136" s="324"/>
    </row>
    <row r="137" spans="1:56" ht="15.75" thickTop="1">
      <c r="A137" s="423" t="s">
        <v>110</v>
      </c>
      <c r="B137" s="426" t="s">
        <v>111</v>
      </c>
      <c r="C137" s="429" t="s">
        <v>51</v>
      </c>
      <c r="D137" s="17">
        <f t="shared" si="9"/>
        <v>4</v>
      </c>
      <c r="E137" s="17">
        <v>0</v>
      </c>
      <c r="F137" s="15" t="s">
        <v>33</v>
      </c>
      <c r="G137" s="17">
        <v>6</v>
      </c>
      <c r="H137" s="17">
        <f t="shared" si="10"/>
        <v>0</v>
      </c>
      <c r="I137" s="286" t="s">
        <v>34</v>
      </c>
      <c r="J137" s="407" t="s">
        <v>35</v>
      </c>
      <c r="K137" s="118"/>
      <c r="L137" s="114"/>
      <c r="M137" s="220"/>
      <c r="N137" s="220"/>
      <c r="O137" s="114"/>
      <c r="P137" s="114"/>
      <c r="Q137" s="114"/>
      <c r="R137" s="121"/>
      <c r="S137" s="121"/>
      <c r="T137" s="114"/>
      <c r="U137" s="114"/>
      <c r="V137" s="114"/>
      <c r="W137" s="220"/>
      <c r="X137" s="220"/>
      <c r="Y137" s="114"/>
      <c r="Z137" s="114"/>
      <c r="AA137" s="128"/>
      <c r="AB137" s="128"/>
      <c r="AC137" s="114"/>
      <c r="AD137" s="114"/>
      <c r="AE137" s="220">
        <v>1.5</v>
      </c>
      <c r="AF137" s="220">
        <v>1.5</v>
      </c>
      <c r="AG137" s="114">
        <v>1.5</v>
      </c>
      <c r="AH137" s="114">
        <v>1.5</v>
      </c>
      <c r="AI137" s="128"/>
      <c r="AJ137" s="128"/>
      <c r="AK137" s="114"/>
      <c r="AL137" s="114"/>
      <c r="AM137" s="220"/>
      <c r="AN137" s="220"/>
      <c r="AO137" s="114"/>
      <c r="AP137" s="114"/>
      <c r="AQ137" s="128"/>
      <c r="AR137" s="128"/>
      <c r="AS137" s="114"/>
      <c r="AT137" s="114"/>
      <c r="AU137" s="220"/>
      <c r="AV137" s="114"/>
      <c r="AW137" s="114"/>
      <c r="AX137" s="114"/>
      <c r="AY137" s="114"/>
      <c r="AZ137" s="114"/>
      <c r="BA137" s="114"/>
      <c r="BB137" s="220"/>
      <c r="BC137" s="409"/>
      <c r="BD137" s="322"/>
    </row>
    <row r="138" spans="1:56">
      <c r="A138" s="424"/>
      <c r="B138" s="427"/>
      <c r="C138" s="430"/>
      <c r="D138" s="5">
        <f t="shared" si="9"/>
        <v>4</v>
      </c>
      <c r="E138" s="5">
        <v>0</v>
      </c>
      <c r="F138" s="10" t="s">
        <v>36</v>
      </c>
      <c r="G138" s="5">
        <v>6</v>
      </c>
      <c r="H138" s="5">
        <f t="shared" si="10"/>
        <v>0</v>
      </c>
      <c r="I138" s="287" t="s">
        <v>34</v>
      </c>
      <c r="J138" s="408"/>
      <c r="K138" s="119"/>
      <c r="L138" s="33"/>
      <c r="M138" s="218"/>
      <c r="N138" s="218"/>
      <c r="O138" s="33"/>
      <c r="P138" s="33"/>
      <c r="Q138" s="33"/>
      <c r="R138" s="122"/>
      <c r="S138" s="122"/>
      <c r="T138" s="33"/>
      <c r="U138" s="33"/>
      <c r="V138" s="33"/>
      <c r="W138" s="218"/>
      <c r="X138" s="218"/>
      <c r="Y138" s="33"/>
      <c r="Z138" s="33"/>
      <c r="AA138" s="129"/>
      <c r="AB138" s="129"/>
      <c r="AC138" s="33"/>
      <c r="AD138" s="33"/>
      <c r="AE138" s="218"/>
      <c r="AF138" s="218"/>
      <c r="AG138" s="33"/>
      <c r="AH138" s="33"/>
      <c r="AI138" s="129"/>
      <c r="AJ138" s="129"/>
      <c r="AK138" s="33">
        <v>1.5</v>
      </c>
      <c r="AL138" s="33">
        <v>1.5</v>
      </c>
      <c r="AM138" s="218">
        <v>1.5</v>
      </c>
      <c r="AN138" s="218">
        <v>1.5</v>
      </c>
      <c r="AO138" s="33"/>
      <c r="AP138" s="33"/>
      <c r="AQ138" s="129"/>
      <c r="AR138" s="129"/>
      <c r="AS138" s="33"/>
      <c r="AT138" s="33"/>
      <c r="AU138" s="218"/>
      <c r="AV138" s="33"/>
      <c r="AW138" s="33"/>
      <c r="AX138" s="33"/>
      <c r="AY138" s="33"/>
      <c r="AZ138" s="33"/>
      <c r="BA138" s="33"/>
      <c r="BB138" s="218"/>
      <c r="BC138" s="410"/>
      <c r="BD138" s="345"/>
    </row>
    <row r="139" spans="1:56">
      <c r="A139" s="424"/>
      <c r="B139" s="427"/>
      <c r="C139" s="430"/>
      <c r="D139" s="5">
        <f t="shared" si="9"/>
        <v>1</v>
      </c>
      <c r="E139" s="5">
        <v>0</v>
      </c>
      <c r="F139" s="10" t="s">
        <v>39</v>
      </c>
      <c r="G139" s="5">
        <v>3</v>
      </c>
      <c r="H139" s="5">
        <f t="shared" si="10"/>
        <v>0</v>
      </c>
      <c r="I139" s="287">
        <v>123</v>
      </c>
      <c r="J139" s="408"/>
      <c r="K139" s="119"/>
      <c r="L139" s="33"/>
      <c r="M139" s="218"/>
      <c r="N139" s="218"/>
      <c r="O139" s="33"/>
      <c r="P139" s="33"/>
      <c r="Q139" s="33"/>
      <c r="R139" s="122"/>
      <c r="S139" s="122"/>
      <c r="T139" s="33"/>
      <c r="U139" s="33"/>
      <c r="V139" s="33"/>
      <c r="W139" s="218"/>
      <c r="X139" s="218"/>
      <c r="Y139" s="33"/>
      <c r="Z139" s="33"/>
      <c r="AA139" s="129"/>
      <c r="AB139" s="129"/>
      <c r="AC139" s="33"/>
      <c r="AD139" s="33"/>
      <c r="AE139" s="218"/>
      <c r="AF139" s="218"/>
      <c r="AG139" s="33"/>
      <c r="AH139" s="33"/>
      <c r="AI139" s="129"/>
      <c r="AJ139" s="129"/>
      <c r="AK139" s="33"/>
      <c r="AL139" s="33"/>
      <c r="AM139" s="218"/>
      <c r="AN139" s="218"/>
      <c r="AO139" s="33">
        <v>3</v>
      </c>
      <c r="AP139" s="33"/>
      <c r="AQ139" s="129"/>
      <c r="AR139" s="129"/>
      <c r="AS139" s="33"/>
      <c r="AT139" s="33"/>
      <c r="AU139" s="218"/>
      <c r="AV139" s="33"/>
      <c r="AW139" s="33"/>
      <c r="AX139" s="33"/>
      <c r="AY139" s="33"/>
      <c r="AZ139" s="33"/>
      <c r="BA139" s="33"/>
      <c r="BB139" s="218"/>
      <c r="BC139" s="410"/>
      <c r="BD139" s="345"/>
    </row>
    <row r="140" spans="1:56">
      <c r="A140" s="424"/>
      <c r="B140" s="427"/>
      <c r="C140" s="430"/>
      <c r="D140" s="7">
        <f t="shared" si="9"/>
        <v>4</v>
      </c>
      <c r="E140" s="7">
        <v>1</v>
      </c>
      <c r="F140" s="25" t="s">
        <v>33</v>
      </c>
      <c r="G140" s="7">
        <v>6</v>
      </c>
      <c r="H140" s="7">
        <f t="shared" si="10"/>
        <v>0</v>
      </c>
      <c r="I140" s="7" t="s">
        <v>34</v>
      </c>
      <c r="J140" s="408" t="s">
        <v>37</v>
      </c>
      <c r="K140" s="119"/>
      <c r="L140" s="33"/>
      <c r="M140" s="218"/>
      <c r="N140" s="218"/>
      <c r="O140" s="33"/>
      <c r="P140" s="33"/>
      <c r="Q140" s="33"/>
      <c r="R140" s="122"/>
      <c r="S140" s="122"/>
      <c r="T140" s="33"/>
      <c r="U140" s="33"/>
      <c r="V140" s="33"/>
      <c r="W140" s="218"/>
      <c r="X140" s="218"/>
      <c r="Y140" s="33"/>
      <c r="Z140" s="33"/>
      <c r="AA140" s="129"/>
      <c r="AB140" s="129"/>
      <c r="AC140" s="33"/>
      <c r="AD140" s="33"/>
      <c r="AE140" s="218"/>
      <c r="AF140" s="218"/>
      <c r="AG140" s="33"/>
      <c r="AH140" s="33"/>
      <c r="AI140" s="129"/>
      <c r="AJ140" s="129"/>
      <c r="AK140" s="33"/>
      <c r="AL140" s="33"/>
      <c r="AM140" s="218"/>
      <c r="AN140" s="218"/>
      <c r="AO140" s="33"/>
      <c r="AP140" s="33"/>
      <c r="AQ140" s="129"/>
      <c r="AR140" s="129"/>
      <c r="AS140" s="33"/>
      <c r="AT140" s="33">
        <v>1.5</v>
      </c>
      <c r="AU140" s="218"/>
      <c r="AV140" s="33">
        <v>1.5</v>
      </c>
      <c r="AW140" s="33">
        <v>1.5</v>
      </c>
      <c r="AX140" s="33">
        <v>1.5</v>
      </c>
      <c r="AY140" s="33"/>
      <c r="AZ140" s="33"/>
      <c r="BA140" s="33"/>
      <c r="BB140" s="218"/>
      <c r="BC140" s="410"/>
      <c r="BD140" s="345"/>
    </row>
    <row r="141" spans="1:56">
      <c r="A141" s="424"/>
      <c r="B141" s="427"/>
      <c r="C141" s="430"/>
      <c r="D141" s="5">
        <f t="shared" si="9"/>
        <v>4</v>
      </c>
      <c r="E141" s="5">
        <v>1</v>
      </c>
      <c r="F141" s="10" t="s">
        <v>36</v>
      </c>
      <c r="G141" s="5">
        <v>6</v>
      </c>
      <c r="H141" s="5">
        <f t="shared" si="10"/>
        <v>0</v>
      </c>
      <c r="I141" s="287" t="s">
        <v>34</v>
      </c>
      <c r="J141" s="408"/>
      <c r="K141" s="119"/>
      <c r="L141" s="33"/>
      <c r="M141" s="218"/>
      <c r="N141" s="218"/>
      <c r="O141" s="33"/>
      <c r="P141" s="33"/>
      <c r="Q141" s="33"/>
      <c r="R141" s="122"/>
      <c r="S141" s="122"/>
      <c r="T141" s="33"/>
      <c r="U141" s="33"/>
      <c r="V141" s="33"/>
      <c r="W141" s="218"/>
      <c r="X141" s="218"/>
      <c r="Y141" s="33"/>
      <c r="Z141" s="33"/>
      <c r="AA141" s="129"/>
      <c r="AB141" s="129"/>
      <c r="AC141" s="33"/>
      <c r="AD141" s="33"/>
      <c r="AE141" s="218"/>
      <c r="AF141" s="218"/>
      <c r="AG141" s="33"/>
      <c r="AH141" s="33"/>
      <c r="AI141" s="129"/>
      <c r="AJ141" s="129"/>
      <c r="AK141" s="33"/>
      <c r="AL141" s="33"/>
      <c r="AM141" s="218"/>
      <c r="AN141" s="218"/>
      <c r="AO141" s="33">
        <v>1.5</v>
      </c>
      <c r="AP141" s="33">
        <v>1.5</v>
      </c>
      <c r="AQ141" s="129"/>
      <c r="AR141" s="129"/>
      <c r="AS141" s="33">
        <v>1.5</v>
      </c>
      <c r="AT141" s="33">
        <v>1.5</v>
      </c>
      <c r="AU141" s="218"/>
      <c r="AV141" s="33"/>
      <c r="AW141" s="33"/>
      <c r="AX141" s="33"/>
      <c r="AY141" s="33"/>
      <c r="AZ141" s="33"/>
      <c r="BA141" s="33"/>
      <c r="BB141" s="218"/>
      <c r="BC141" s="410"/>
      <c r="BD141" s="345"/>
    </row>
    <row r="142" spans="1:56" ht="15.75" thickBot="1">
      <c r="A142" s="425"/>
      <c r="B142" s="428"/>
      <c r="C142" s="431"/>
      <c r="D142" s="18">
        <f t="shared" si="9"/>
        <v>1</v>
      </c>
      <c r="E142" s="18">
        <v>1</v>
      </c>
      <c r="F142" s="16" t="s">
        <v>39</v>
      </c>
      <c r="G142" s="18">
        <v>3</v>
      </c>
      <c r="H142" s="18">
        <f t="shared" si="10"/>
        <v>0</v>
      </c>
      <c r="I142" s="288">
        <v>123</v>
      </c>
      <c r="J142" s="412"/>
      <c r="K142" s="120"/>
      <c r="L142" s="115"/>
      <c r="M142" s="219"/>
      <c r="N142" s="219"/>
      <c r="O142" s="115"/>
      <c r="P142" s="115"/>
      <c r="Q142" s="115"/>
      <c r="R142" s="123"/>
      <c r="S142" s="123"/>
      <c r="T142" s="115"/>
      <c r="U142" s="115"/>
      <c r="V142" s="115"/>
      <c r="W142" s="219"/>
      <c r="X142" s="219"/>
      <c r="Y142" s="115"/>
      <c r="Z142" s="115"/>
      <c r="AA142" s="130"/>
      <c r="AB142" s="130"/>
      <c r="AC142" s="115"/>
      <c r="AD142" s="115"/>
      <c r="AE142" s="219"/>
      <c r="AF142" s="219"/>
      <c r="AG142" s="115"/>
      <c r="AH142" s="115"/>
      <c r="AI142" s="130"/>
      <c r="AJ142" s="130"/>
      <c r="AK142" s="115"/>
      <c r="AL142" s="115"/>
      <c r="AM142" s="219"/>
      <c r="AN142" s="219"/>
      <c r="AO142" s="115"/>
      <c r="AP142" s="115"/>
      <c r="AQ142" s="130"/>
      <c r="AR142" s="130"/>
      <c r="AS142" s="115"/>
      <c r="AT142" s="115"/>
      <c r="AU142" s="219"/>
      <c r="AV142" s="115"/>
      <c r="AW142" s="115"/>
      <c r="AX142" s="115"/>
      <c r="AY142" s="115">
        <v>3</v>
      </c>
      <c r="AZ142" s="115"/>
      <c r="BA142" s="115"/>
      <c r="BB142" s="219"/>
      <c r="BC142" s="411"/>
      <c r="BD142" s="324"/>
    </row>
    <row r="143" spans="1:56" ht="15.75" thickTop="1">
      <c r="A143" s="423" t="s">
        <v>112</v>
      </c>
      <c r="B143" s="426" t="s">
        <v>113</v>
      </c>
      <c r="C143" s="429" t="s">
        <v>51</v>
      </c>
      <c r="D143" s="17">
        <f t="shared" si="9"/>
        <v>5</v>
      </c>
      <c r="E143" s="17">
        <v>0</v>
      </c>
      <c r="F143" s="15" t="s">
        <v>36</v>
      </c>
      <c r="G143" s="17">
        <v>15</v>
      </c>
      <c r="H143" s="17">
        <f t="shared" si="10"/>
        <v>0</v>
      </c>
      <c r="I143" s="286" t="s">
        <v>34</v>
      </c>
      <c r="J143" s="407" t="s">
        <v>35</v>
      </c>
      <c r="K143" s="118"/>
      <c r="L143" s="114"/>
      <c r="M143" s="220"/>
      <c r="N143" s="220"/>
      <c r="O143" s="114"/>
      <c r="P143" s="114"/>
      <c r="Q143" s="114"/>
      <c r="R143" s="121"/>
      <c r="S143" s="121"/>
      <c r="T143" s="114"/>
      <c r="U143" s="114"/>
      <c r="V143" s="114"/>
      <c r="W143" s="220"/>
      <c r="X143" s="220"/>
      <c r="Y143" s="114"/>
      <c r="Z143" s="114"/>
      <c r="AA143" s="128"/>
      <c r="AB143" s="128"/>
      <c r="AC143" s="114"/>
      <c r="AD143" s="114"/>
      <c r="AE143" s="220">
        <v>3</v>
      </c>
      <c r="AF143" s="220">
        <v>3</v>
      </c>
      <c r="AG143" s="114">
        <v>3</v>
      </c>
      <c r="AH143" s="114">
        <v>3</v>
      </c>
      <c r="AI143" s="128"/>
      <c r="AJ143" s="128"/>
      <c r="AK143" s="114">
        <v>3</v>
      </c>
      <c r="AL143" s="114"/>
      <c r="AM143" s="220"/>
      <c r="AN143" s="220"/>
      <c r="AO143" s="114"/>
      <c r="AP143" s="114"/>
      <c r="AQ143" s="128"/>
      <c r="AR143" s="128"/>
      <c r="AS143" s="114"/>
      <c r="AT143" s="114"/>
      <c r="AU143" s="220"/>
      <c r="AV143" s="114"/>
      <c r="AW143" s="114"/>
      <c r="AX143" s="114"/>
      <c r="AY143" s="114"/>
      <c r="AZ143" s="114"/>
      <c r="BA143" s="114"/>
      <c r="BB143" s="220"/>
      <c r="BC143" s="409"/>
      <c r="BD143" s="322"/>
    </row>
    <row r="144" spans="1:56">
      <c r="A144" s="424"/>
      <c r="B144" s="427"/>
      <c r="C144" s="430"/>
      <c r="D144" s="5">
        <f t="shared" si="9"/>
        <v>3</v>
      </c>
      <c r="E144" s="5">
        <v>0</v>
      </c>
      <c r="F144" s="10" t="s">
        <v>39</v>
      </c>
      <c r="G144" s="5">
        <v>9</v>
      </c>
      <c r="H144" s="5">
        <f t="shared" si="10"/>
        <v>0</v>
      </c>
      <c r="I144" s="287">
        <v>123</v>
      </c>
      <c r="J144" s="408"/>
      <c r="K144" s="119"/>
      <c r="L144" s="33"/>
      <c r="M144" s="218"/>
      <c r="N144" s="218"/>
      <c r="O144" s="33"/>
      <c r="P144" s="33"/>
      <c r="Q144" s="33"/>
      <c r="R144" s="122"/>
      <c r="S144" s="122"/>
      <c r="T144" s="33"/>
      <c r="U144" s="33"/>
      <c r="V144" s="33"/>
      <c r="W144" s="218"/>
      <c r="X144" s="218"/>
      <c r="Y144" s="33"/>
      <c r="Z144" s="33"/>
      <c r="AA144" s="129"/>
      <c r="AB144" s="129"/>
      <c r="AC144" s="33"/>
      <c r="AD144" s="33"/>
      <c r="AE144" s="218"/>
      <c r="AF144" s="218"/>
      <c r="AG144" s="33"/>
      <c r="AH144" s="33"/>
      <c r="AI144" s="129"/>
      <c r="AJ144" s="129"/>
      <c r="AK144" s="33"/>
      <c r="AL144" s="33">
        <v>3</v>
      </c>
      <c r="AM144" s="218">
        <v>3</v>
      </c>
      <c r="AN144" s="218">
        <v>3</v>
      </c>
      <c r="AO144" s="33"/>
      <c r="AP144" s="33"/>
      <c r="AQ144" s="129"/>
      <c r="AR144" s="129"/>
      <c r="AS144" s="33"/>
      <c r="AT144" s="33"/>
      <c r="AU144" s="218"/>
      <c r="AV144" s="33"/>
      <c r="AW144" s="33"/>
      <c r="AX144" s="33"/>
      <c r="AY144" s="33"/>
      <c r="AZ144" s="33"/>
      <c r="BA144" s="33"/>
      <c r="BB144" s="218"/>
      <c r="BC144" s="410"/>
      <c r="BD144" s="345"/>
    </row>
    <row r="145" spans="1:56">
      <c r="A145" s="424"/>
      <c r="B145" s="427"/>
      <c r="C145" s="430" t="s">
        <v>54</v>
      </c>
      <c r="D145" s="7">
        <f t="shared" si="9"/>
        <v>5</v>
      </c>
      <c r="E145" s="7">
        <v>1</v>
      </c>
      <c r="F145" s="25" t="s">
        <v>36</v>
      </c>
      <c r="G145" s="7">
        <v>15</v>
      </c>
      <c r="H145" s="7">
        <f t="shared" si="10"/>
        <v>0</v>
      </c>
      <c r="I145" s="7" t="s">
        <v>34</v>
      </c>
      <c r="J145" s="408" t="s">
        <v>37</v>
      </c>
      <c r="K145" s="119"/>
      <c r="L145" s="33"/>
      <c r="M145" s="218"/>
      <c r="N145" s="218"/>
      <c r="O145" s="33"/>
      <c r="P145" s="33"/>
      <c r="Q145" s="33"/>
      <c r="R145" s="122"/>
      <c r="S145" s="122"/>
      <c r="T145" s="33"/>
      <c r="U145" s="33"/>
      <c r="V145" s="33"/>
      <c r="W145" s="218"/>
      <c r="X145" s="218"/>
      <c r="Y145" s="33"/>
      <c r="Z145" s="33"/>
      <c r="AA145" s="129"/>
      <c r="AB145" s="129"/>
      <c r="AC145" s="33"/>
      <c r="AD145" s="33"/>
      <c r="AE145" s="218"/>
      <c r="AF145" s="218"/>
      <c r="AG145" s="33"/>
      <c r="AH145" s="33"/>
      <c r="AI145" s="129"/>
      <c r="AJ145" s="129"/>
      <c r="AK145" s="33"/>
      <c r="AL145" s="33"/>
      <c r="AM145" s="218"/>
      <c r="AN145" s="218"/>
      <c r="AO145" s="33">
        <v>3</v>
      </c>
      <c r="AP145" s="33">
        <v>3</v>
      </c>
      <c r="AQ145" s="129"/>
      <c r="AR145" s="129"/>
      <c r="AS145" s="33">
        <v>3</v>
      </c>
      <c r="AT145" s="33">
        <v>3</v>
      </c>
      <c r="AU145" s="218"/>
      <c r="AV145" s="33">
        <v>3</v>
      </c>
      <c r="AW145" s="33"/>
      <c r="AX145" s="33"/>
      <c r="AY145" s="33"/>
      <c r="AZ145" s="33"/>
      <c r="BA145" s="33"/>
      <c r="BB145" s="218"/>
      <c r="BC145" s="410"/>
      <c r="BD145" s="345"/>
    </row>
    <row r="146" spans="1:56" ht="15.75" thickBot="1">
      <c r="A146" s="425"/>
      <c r="B146" s="428"/>
      <c r="C146" s="431"/>
      <c r="D146" s="18">
        <f t="shared" si="9"/>
        <v>3</v>
      </c>
      <c r="E146" s="18">
        <v>1</v>
      </c>
      <c r="F146" s="16" t="s">
        <v>39</v>
      </c>
      <c r="G146" s="18">
        <v>9</v>
      </c>
      <c r="H146" s="18">
        <f t="shared" si="10"/>
        <v>0</v>
      </c>
      <c r="I146" s="288">
        <v>123</v>
      </c>
      <c r="J146" s="412"/>
      <c r="K146" s="120"/>
      <c r="L146" s="115"/>
      <c r="M146" s="219"/>
      <c r="N146" s="219"/>
      <c r="O146" s="115"/>
      <c r="P146" s="115"/>
      <c r="Q146" s="115"/>
      <c r="R146" s="123"/>
      <c r="S146" s="123"/>
      <c r="T146" s="115"/>
      <c r="U146" s="115"/>
      <c r="V146" s="115"/>
      <c r="W146" s="219"/>
      <c r="X146" s="219"/>
      <c r="Y146" s="115"/>
      <c r="Z146" s="115"/>
      <c r="AA146" s="130"/>
      <c r="AB146" s="130"/>
      <c r="AC146" s="115"/>
      <c r="AD146" s="115"/>
      <c r="AE146" s="219"/>
      <c r="AF146" s="219"/>
      <c r="AG146" s="115"/>
      <c r="AH146" s="115"/>
      <c r="AI146" s="130"/>
      <c r="AJ146" s="130"/>
      <c r="AK146" s="115"/>
      <c r="AL146" s="115"/>
      <c r="AM146" s="219"/>
      <c r="AN146" s="219"/>
      <c r="AO146" s="115"/>
      <c r="AP146" s="115"/>
      <c r="AQ146" s="130"/>
      <c r="AR146" s="130"/>
      <c r="AS146" s="115"/>
      <c r="AT146" s="115"/>
      <c r="AU146" s="219"/>
      <c r="AV146" s="115"/>
      <c r="AW146" s="115">
        <v>3</v>
      </c>
      <c r="AX146" s="115">
        <v>3</v>
      </c>
      <c r="AY146" s="115">
        <v>3</v>
      </c>
      <c r="AZ146" s="115"/>
      <c r="BA146" s="115"/>
      <c r="BB146" s="219"/>
      <c r="BC146" s="411"/>
      <c r="BD146" s="324"/>
    </row>
    <row r="147" spans="1:56" ht="15.75" thickTop="1">
      <c r="A147" s="423" t="s">
        <v>114</v>
      </c>
      <c r="B147" s="426" t="s">
        <v>115</v>
      </c>
      <c r="C147" s="429" t="s">
        <v>57</v>
      </c>
      <c r="D147" s="17">
        <f t="shared" si="9"/>
        <v>3</v>
      </c>
      <c r="E147" s="17">
        <v>0</v>
      </c>
      <c r="F147" s="15" t="s">
        <v>33</v>
      </c>
      <c r="G147" s="17">
        <v>4.5</v>
      </c>
      <c r="H147" s="17">
        <f t="shared" si="10"/>
        <v>0</v>
      </c>
      <c r="I147" s="286" t="s">
        <v>34</v>
      </c>
      <c r="J147" s="407" t="s">
        <v>35</v>
      </c>
      <c r="K147" s="118"/>
      <c r="L147" s="114"/>
      <c r="M147" s="220"/>
      <c r="N147" s="220"/>
      <c r="O147" s="114"/>
      <c r="P147" s="114"/>
      <c r="Q147" s="114"/>
      <c r="R147" s="121"/>
      <c r="S147" s="121"/>
      <c r="T147" s="114"/>
      <c r="U147" s="114"/>
      <c r="V147" s="114"/>
      <c r="W147" s="220"/>
      <c r="X147" s="220"/>
      <c r="Y147" s="114"/>
      <c r="Z147" s="114"/>
      <c r="AA147" s="128"/>
      <c r="AB147" s="128"/>
      <c r="AC147" s="114"/>
      <c r="AD147" s="114"/>
      <c r="AE147" s="220"/>
      <c r="AF147" s="220"/>
      <c r="AG147" s="114"/>
      <c r="AH147" s="114">
        <v>1.5</v>
      </c>
      <c r="AI147" s="128"/>
      <c r="AJ147" s="128"/>
      <c r="AK147" s="114">
        <v>1.5</v>
      </c>
      <c r="AL147" s="114">
        <v>1.5</v>
      </c>
      <c r="AM147" s="220"/>
      <c r="AN147" s="220"/>
      <c r="AO147" s="114"/>
      <c r="AP147" s="114"/>
      <c r="AQ147" s="128"/>
      <c r="AR147" s="128"/>
      <c r="AS147" s="114"/>
      <c r="AT147" s="114"/>
      <c r="AU147" s="220"/>
      <c r="AV147" s="114"/>
      <c r="AW147" s="114"/>
      <c r="AX147" s="114"/>
      <c r="AY147" s="114"/>
      <c r="AZ147" s="114"/>
      <c r="BA147" s="114"/>
      <c r="BB147" s="220"/>
      <c r="BC147" s="409"/>
      <c r="BD147" s="322"/>
    </row>
    <row r="148" spans="1:56">
      <c r="A148" s="424"/>
      <c r="B148" s="427"/>
      <c r="C148" s="430"/>
      <c r="D148" s="5">
        <f t="shared" si="9"/>
        <v>3</v>
      </c>
      <c r="E148" s="5">
        <v>0</v>
      </c>
      <c r="F148" s="10" t="s">
        <v>36</v>
      </c>
      <c r="G148" s="5">
        <v>4.5</v>
      </c>
      <c r="H148" s="5">
        <f t="shared" si="10"/>
        <v>0</v>
      </c>
      <c r="I148" s="287" t="s">
        <v>34</v>
      </c>
      <c r="J148" s="408"/>
      <c r="K148" s="119"/>
      <c r="L148" s="33"/>
      <c r="M148" s="218"/>
      <c r="N148" s="218"/>
      <c r="O148" s="33"/>
      <c r="P148" s="33"/>
      <c r="Q148" s="33"/>
      <c r="R148" s="122"/>
      <c r="S148" s="122"/>
      <c r="T148" s="33"/>
      <c r="U148" s="33"/>
      <c r="V148" s="33"/>
      <c r="W148" s="218"/>
      <c r="X148" s="218"/>
      <c r="Y148" s="33"/>
      <c r="Z148" s="33"/>
      <c r="AA148" s="129"/>
      <c r="AB148" s="129"/>
      <c r="AC148" s="33"/>
      <c r="AD148" s="33"/>
      <c r="AE148" s="218"/>
      <c r="AF148" s="218"/>
      <c r="AG148" s="33"/>
      <c r="AH148" s="33">
        <v>1.5</v>
      </c>
      <c r="AI148" s="129"/>
      <c r="AJ148" s="129"/>
      <c r="AK148" s="33">
        <v>1.5</v>
      </c>
      <c r="AL148" s="33">
        <v>1.5</v>
      </c>
      <c r="AM148" s="218"/>
      <c r="AN148" s="218"/>
      <c r="AO148" s="33"/>
      <c r="AP148" s="33"/>
      <c r="AQ148" s="129"/>
      <c r="AR148" s="129"/>
      <c r="AS148" s="33"/>
      <c r="AT148" s="33"/>
      <c r="AU148" s="218"/>
      <c r="AV148" s="33"/>
      <c r="AW148" s="33"/>
      <c r="AX148" s="33"/>
      <c r="AY148" s="33"/>
      <c r="AZ148" s="33"/>
      <c r="BA148" s="33"/>
      <c r="BB148" s="218"/>
      <c r="BC148" s="410"/>
      <c r="BD148" s="345"/>
    </row>
    <row r="149" spans="1:56">
      <c r="A149" s="424"/>
      <c r="B149" s="427"/>
      <c r="C149" s="430"/>
      <c r="D149" s="5">
        <f t="shared" si="9"/>
        <v>3</v>
      </c>
      <c r="E149" s="5">
        <v>0</v>
      </c>
      <c r="F149" s="10" t="s">
        <v>39</v>
      </c>
      <c r="G149" s="5">
        <v>9</v>
      </c>
      <c r="H149" s="5">
        <f t="shared" si="10"/>
        <v>0</v>
      </c>
      <c r="I149" s="287">
        <v>124</v>
      </c>
      <c r="J149" s="408"/>
      <c r="K149" s="119"/>
      <c r="L149" s="33"/>
      <c r="M149" s="218"/>
      <c r="N149" s="218"/>
      <c r="O149" s="33"/>
      <c r="P149" s="33"/>
      <c r="Q149" s="33"/>
      <c r="R149" s="122"/>
      <c r="S149" s="122"/>
      <c r="T149" s="33"/>
      <c r="U149" s="33"/>
      <c r="V149" s="33"/>
      <c r="W149" s="218"/>
      <c r="X149" s="218"/>
      <c r="Y149" s="33"/>
      <c r="Z149" s="33"/>
      <c r="AA149" s="129"/>
      <c r="AB149" s="129"/>
      <c r="AC149" s="33"/>
      <c r="AD149" s="33"/>
      <c r="AE149" s="218"/>
      <c r="AF149" s="218"/>
      <c r="AG149" s="33"/>
      <c r="AH149" s="33"/>
      <c r="AI149" s="129"/>
      <c r="AJ149" s="129"/>
      <c r="AK149" s="33"/>
      <c r="AL149" s="33"/>
      <c r="AM149" s="218">
        <v>3</v>
      </c>
      <c r="AN149" s="218">
        <v>3</v>
      </c>
      <c r="AO149" s="33">
        <v>3</v>
      </c>
      <c r="AP149" s="33"/>
      <c r="AQ149" s="129"/>
      <c r="AR149" s="129"/>
      <c r="AS149" s="33"/>
      <c r="AT149" s="33"/>
      <c r="AU149" s="218"/>
      <c r="AV149" s="33"/>
      <c r="AW149" s="33"/>
      <c r="AX149" s="33"/>
      <c r="AY149" s="33"/>
      <c r="AZ149" s="33"/>
      <c r="BA149" s="33"/>
      <c r="BB149" s="218"/>
      <c r="BC149" s="410"/>
      <c r="BD149" s="345"/>
    </row>
    <row r="150" spans="1:56">
      <c r="A150" s="424"/>
      <c r="B150" s="427"/>
      <c r="C150" s="430" t="s">
        <v>73</v>
      </c>
      <c r="D150" s="5">
        <f t="shared" si="9"/>
        <v>4</v>
      </c>
      <c r="E150" s="5"/>
      <c r="F150" s="10" t="s">
        <v>33</v>
      </c>
      <c r="G150" s="5">
        <v>6</v>
      </c>
      <c r="H150" s="5">
        <f t="shared" si="10"/>
        <v>0</v>
      </c>
      <c r="I150" s="287" t="s">
        <v>34</v>
      </c>
      <c r="J150" s="408"/>
      <c r="K150" s="119"/>
      <c r="L150" s="33"/>
      <c r="M150" s="218"/>
      <c r="N150" s="218"/>
      <c r="O150" s="33"/>
      <c r="P150" s="33"/>
      <c r="Q150" s="33"/>
      <c r="R150" s="122"/>
      <c r="S150" s="122"/>
      <c r="T150" s="33"/>
      <c r="U150" s="33"/>
      <c r="V150" s="33"/>
      <c r="W150" s="218"/>
      <c r="X150" s="218"/>
      <c r="Y150" s="33"/>
      <c r="Z150" s="33"/>
      <c r="AA150" s="129"/>
      <c r="AB150" s="129"/>
      <c r="AC150" s="33"/>
      <c r="AD150" s="33"/>
      <c r="AE150" s="218"/>
      <c r="AF150" s="218">
        <v>1.5</v>
      </c>
      <c r="AG150" s="33">
        <v>1.5</v>
      </c>
      <c r="AH150" s="33">
        <v>1.5</v>
      </c>
      <c r="AI150" s="129"/>
      <c r="AJ150" s="129"/>
      <c r="AK150" s="33">
        <v>1.5</v>
      </c>
      <c r="AL150" s="33"/>
      <c r="AM150" s="218"/>
      <c r="AN150" s="218"/>
      <c r="AO150" s="33"/>
      <c r="AP150" s="33"/>
      <c r="AQ150" s="129"/>
      <c r="AR150" s="129"/>
      <c r="AS150" s="33"/>
      <c r="AT150" s="33"/>
      <c r="AU150" s="218"/>
      <c r="AV150" s="33"/>
      <c r="AW150" s="33"/>
      <c r="AX150" s="33"/>
      <c r="AY150" s="33"/>
      <c r="AZ150" s="33"/>
      <c r="BA150" s="33"/>
      <c r="BB150" s="218"/>
      <c r="BC150" s="410"/>
      <c r="BD150" s="345"/>
    </row>
    <row r="151" spans="1:56">
      <c r="A151" s="424"/>
      <c r="B151" s="427"/>
      <c r="C151" s="430"/>
      <c r="D151" s="5">
        <f t="shared" si="9"/>
        <v>5</v>
      </c>
      <c r="E151" s="5">
        <v>0</v>
      </c>
      <c r="F151" s="10" t="s">
        <v>36</v>
      </c>
      <c r="G151" s="5">
        <v>7.5</v>
      </c>
      <c r="H151" s="5">
        <f t="shared" si="10"/>
        <v>0</v>
      </c>
      <c r="I151" s="287" t="s">
        <v>34</v>
      </c>
      <c r="J151" s="408"/>
      <c r="K151" s="119"/>
      <c r="L151" s="33"/>
      <c r="M151" s="218"/>
      <c r="N151" s="218"/>
      <c r="O151" s="33"/>
      <c r="P151" s="33"/>
      <c r="Q151" s="33"/>
      <c r="R151" s="122"/>
      <c r="S151" s="122"/>
      <c r="T151" s="33"/>
      <c r="U151" s="33"/>
      <c r="V151" s="33"/>
      <c r="W151" s="218"/>
      <c r="X151" s="218"/>
      <c r="Y151" s="33"/>
      <c r="Z151" s="33"/>
      <c r="AA151" s="129"/>
      <c r="AB151" s="129"/>
      <c r="AC151" s="33"/>
      <c r="AD151" s="33"/>
      <c r="AE151" s="218"/>
      <c r="AF151" s="218">
        <v>1.5</v>
      </c>
      <c r="AG151" s="33">
        <v>1.5</v>
      </c>
      <c r="AH151" s="33">
        <v>1.5</v>
      </c>
      <c r="AI151" s="129"/>
      <c r="AJ151" s="129"/>
      <c r="AK151" s="33">
        <v>1.5</v>
      </c>
      <c r="AL151" s="33">
        <v>1.5</v>
      </c>
      <c r="AM151" s="218"/>
      <c r="AN151" s="218"/>
      <c r="AO151" s="33"/>
      <c r="AP151" s="33"/>
      <c r="AQ151" s="129"/>
      <c r="AR151" s="129"/>
      <c r="AS151" s="33"/>
      <c r="AT151" s="33"/>
      <c r="AU151" s="218"/>
      <c r="AV151" s="33"/>
      <c r="AW151" s="33"/>
      <c r="AX151" s="33"/>
      <c r="AY151" s="33"/>
      <c r="AZ151" s="33"/>
      <c r="BA151" s="33"/>
      <c r="BB151" s="218"/>
      <c r="BC151" s="410"/>
      <c r="BD151" s="345"/>
    </row>
    <row r="152" spans="1:56">
      <c r="A152" s="424"/>
      <c r="B152" s="427"/>
      <c r="C152" s="430"/>
      <c r="D152" s="5">
        <f t="shared" si="9"/>
        <v>5</v>
      </c>
      <c r="E152" s="5">
        <v>0</v>
      </c>
      <c r="F152" s="10" t="s">
        <v>39</v>
      </c>
      <c r="G152" s="5">
        <v>15</v>
      </c>
      <c r="H152" s="5">
        <f t="shared" si="10"/>
        <v>0</v>
      </c>
      <c r="I152" s="287">
        <v>124</v>
      </c>
      <c r="J152" s="408"/>
      <c r="K152" s="119"/>
      <c r="L152" s="33"/>
      <c r="M152" s="218"/>
      <c r="N152" s="218"/>
      <c r="O152" s="33"/>
      <c r="P152" s="33"/>
      <c r="Q152" s="33"/>
      <c r="R152" s="122"/>
      <c r="S152" s="122"/>
      <c r="T152" s="33"/>
      <c r="U152" s="33"/>
      <c r="V152" s="33"/>
      <c r="W152" s="218"/>
      <c r="X152" s="218"/>
      <c r="Y152" s="33"/>
      <c r="Z152" s="33"/>
      <c r="AA152" s="129"/>
      <c r="AB152" s="129"/>
      <c r="AC152" s="33"/>
      <c r="AD152" s="33"/>
      <c r="AE152" s="218"/>
      <c r="AF152" s="218"/>
      <c r="AG152" s="33"/>
      <c r="AH152" s="33"/>
      <c r="AI152" s="129"/>
      <c r="AJ152" s="129"/>
      <c r="AK152" s="33"/>
      <c r="AL152" s="33"/>
      <c r="AM152" s="218">
        <v>3</v>
      </c>
      <c r="AN152" s="218">
        <v>3</v>
      </c>
      <c r="AO152" s="33">
        <v>3</v>
      </c>
      <c r="AP152" s="33">
        <v>3</v>
      </c>
      <c r="AQ152" s="129"/>
      <c r="AR152" s="129"/>
      <c r="AS152" s="33">
        <v>3</v>
      </c>
      <c r="AT152" s="33"/>
      <c r="AU152" s="218"/>
      <c r="AV152" s="33"/>
      <c r="AW152" s="33"/>
      <c r="AX152" s="33"/>
      <c r="AY152" s="33"/>
      <c r="AZ152" s="33"/>
      <c r="BA152" s="33"/>
      <c r="BB152" s="218"/>
      <c r="BC152" s="410"/>
      <c r="BD152" s="345"/>
    </row>
    <row r="153" spans="1:56">
      <c r="A153" s="424"/>
      <c r="B153" s="427"/>
      <c r="C153" s="430" t="s">
        <v>57</v>
      </c>
      <c r="D153" s="5">
        <f t="shared" si="9"/>
        <v>3</v>
      </c>
      <c r="E153" s="5">
        <v>1</v>
      </c>
      <c r="F153" s="10" t="s">
        <v>33</v>
      </c>
      <c r="G153" s="5">
        <v>4.5</v>
      </c>
      <c r="H153" s="5">
        <f t="shared" si="10"/>
        <v>0</v>
      </c>
      <c r="I153" s="287" t="s">
        <v>34</v>
      </c>
      <c r="J153" s="408" t="s">
        <v>37</v>
      </c>
      <c r="K153" s="119"/>
      <c r="L153" s="33"/>
      <c r="M153" s="218"/>
      <c r="N153" s="218"/>
      <c r="O153" s="33"/>
      <c r="P153" s="33"/>
      <c r="Q153" s="33"/>
      <c r="R153" s="122"/>
      <c r="S153" s="122"/>
      <c r="T153" s="33"/>
      <c r="U153" s="33"/>
      <c r="V153" s="33"/>
      <c r="W153" s="218"/>
      <c r="X153" s="218"/>
      <c r="Y153" s="33"/>
      <c r="Z153" s="33"/>
      <c r="AA153" s="129"/>
      <c r="AB153" s="129"/>
      <c r="AC153" s="33"/>
      <c r="AD153" s="33"/>
      <c r="AE153" s="218"/>
      <c r="AF153" s="218"/>
      <c r="AG153" s="33"/>
      <c r="AH153" s="33"/>
      <c r="AI153" s="129"/>
      <c r="AJ153" s="129"/>
      <c r="AK153" s="33"/>
      <c r="AL153" s="33"/>
      <c r="AM153" s="218"/>
      <c r="AN153" s="218"/>
      <c r="AO153" s="33"/>
      <c r="AP153" s="33"/>
      <c r="AQ153" s="129"/>
      <c r="AR153" s="129"/>
      <c r="AS153" s="33"/>
      <c r="AT153" s="33"/>
      <c r="AU153" s="218"/>
      <c r="AV153" s="33">
        <v>1.5</v>
      </c>
      <c r="AW153" s="33">
        <v>1.5</v>
      </c>
      <c r="AX153" s="33">
        <v>1.5</v>
      </c>
      <c r="AY153" s="33"/>
      <c r="AZ153" s="33"/>
      <c r="BA153" s="33"/>
      <c r="BB153" s="218"/>
      <c r="BC153" s="410"/>
      <c r="BD153" s="345"/>
    </row>
    <row r="154" spans="1:56">
      <c r="A154" s="424"/>
      <c r="B154" s="427"/>
      <c r="C154" s="430"/>
      <c r="D154" s="5">
        <f t="shared" si="9"/>
        <v>3</v>
      </c>
      <c r="E154" s="5">
        <v>1</v>
      </c>
      <c r="F154" s="10" t="s">
        <v>36</v>
      </c>
      <c r="G154" s="5">
        <v>4.5</v>
      </c>
      <c r="H154" s="5">
        <f t="shared" si="10"/>
        <v>0</v>
      </c>
      <c r="I154" s="287" t="s">
        <v>34</v>
      </c>
      <c r="J154" s="408"/>
      <c r="K154" s="119"/>
      <c r="L154" s="33"/>
      <c r="M154" s="218"/>
      <c r="N154" s="218"/>
      <c r="O154" s="33"/>
      <c r="P154" s="33"/>
      <c r="Q154" s="33"/>
      <c r="R154" s="122"/>
      <c r="S154" s="122"/>
      <c r="T154" s="33"/>
      <c r="U154" s="33"/>
      <c r="V154" s="33"/>
      <c r="W154" s="218"/>
      <c r="X154" s="218"/>
      <c r="Y154" s="33"/>
      <c r="Z154" s="33"/>
      <c r="AA154" s="129"/>
      <c r="AB154" s="129"/>
      <c r="AC154" s="33"/>
      <c r="AD154" s="33"/>
      <c r="AE154" s="218"/>
      <c r="AF154" s="218"/>
      <c r="AG154" s="33"/>
      <c r="AH154" s="33"/>
      <c r="AI154" s="129"/>
      <c r="AJ154" s="129"/>
      <c r="AK154" s="33"/>
      <c r="AL154" s="33"/>
      <c r="AM154" s="218"/>
      <c r="AN154" s="218"/>
      <c r="AO154" s="33"/>
      <c r="AP154" s="33"/>
      <c r="AQ154" s="129"/>
      <c r="AR154" s="129"/>
      <c r="AS154" s="33"/>
      <c r="AT154" s="33"/>
      <c r="AU154" s="218"/>
      <c r="AV154" s="33">
        <v>1.5</v>
      </c>
      <c r="AW154" s="33">
        <v>1.5</v>
      </c>
      <c r="AX154" s="33">
        <v>1.5</v>
      </c>
      <c r="AY154" s="33"/>
      <c r="AZ154" s="33"/>
      <c r="BA154" s="33"/>
      <c r="BB154" s="218"/>
      <c r="BC154" s="410"/>
      <c r="BD154" s="345"/>
    </row>
    <row r="155" spans="1:56">
      <c r="A155" s="424"/>
      <c r="B155" s="427"/>
      <c r="C155" s="430"/>
      <c r="D155" s="5">
        <f t="shared" si="9"/>
        <v>3</v>
      </c>
      <c r="E155" s="5">
        <v>1</v>
      </c>
      <c r="F155" s="10" t="s">
        <v>39</v>
      </c>
      <c r="G155" s="5">
        <v>9</v>
      </c>
      <c r="H155" s="5">
        <f t="shared" si="10"/>
        <v>0</v>
      </c>
      <c r="I155" s="287">
        <v>124</v>
      </c>
      <c r="J155" s="408"/>
      <c r="K155" s="119"/>
      <c r="L155" s="33"/>
      <c r="M155" s="218"/>
      <c r="N155" s="218"/>
      <c r="O155" s="33"/>
      <c r="P155" s="33"/>
      <c r="Q155" s="33"/>
      <c r="R155" s="122"/>
      <c r="S155" s="122"/>
      <c r="T155" s="33"/>
      <c r="U155" s="33"/>
      <c r="V155" s="33"/>
      <c r="W155" s="218"/>
      <c r="X155" s="218"/>
      <c r="Y155" s="33"/>
      <c r="Z155" s="33"/>
      <c r="AA155" s="129"/>
      <c r="AB155" s="129"/>
      <c r="AC155" s="33"/>
      <c r="AD155" s="33"/>
      <c r="AE155" s="218"/>
      <c r="AF155" s="218"/>
      <c r="AG155" s="33"/>
      <c r="AH155" s="33"/>
      <c r="AI155" s="129"/>
      <c r="AJ155" s="129"/>
      <c r="AK155" s="33"/>
      <c r="AL155" s="33"/>
      <c r="AM155" s="218"/>
      <c r="AN155" s="218"/>
      <c r="AO155" s="33"/>
      <c r="AP155" s="33"/>
      <c r="AQ155" s="129"/>
      <c r="AR155" s="129"/>
      <c r="AS155" s="33"/>
      <c r="AT155" s="33"/>
      <c r="AU155" s="218"/>
      <c r="AV155" s="33"/>
      <c r="AW155" s="33"/>
      <c r="AX155" s="33"/>
      <c r="AY155" s="33">
        <v>3</v>
      </c>
      <c r="AZ155" s="33">
        <v>3</v>
      </c>
      <c r="BA155" s="33">
        <v>3</v>
      </c>
      <c r="BB155" s="218"/>
      <c r="BC155" s="410"/>
      <c r="BD155" s="345"/>
    </row>
    <row r="156" spans="1:56">
      <c r="A156" s="424"/>
      <c r="B156" s="427"/>
      <c r="C156" s="438" t="s">
        <v>73</v>
      </c>
      <c r="D156" s="5">
        <f t="shared" si="9"/>
        <v>4</v>
      </c>
      <c r="E156" s="5">
        <v>1</v>
      </c>
      <c r="F156" s="10" t="s">
        <v>33</v>
      </c>
      <c r="G156" s="5">
        <v>6</v>
      </c>
      <c r="H156" s="5">
        <f t="shared" si="10"/>
        <v>0</v>
      </c>
      <c r="I156" s="287" t="s">
        <v>34</v>
      </c>
      <c r="J156" s="408"/>
      <c r="K156" s="119"/>
      <c r="L156" s="33"/>
      <c r="M156" s="218"/>
      <c r="N156" s="218"/>
      <c r="O156" s="33"/>
      <c r="P156" s="33"/>
      <c r="Q156" s="33"/>
      <c r="R156" s="122"/>
      <c r="S156" s="122"/>
      <c r="T156" s="33"/>
      <c r="U156" s="33"/>
      <c r="V156" s="33"/>
      <c r="W156" s="218"/>
      <c r="X156" s="218"/>
      <c r="Y156" s="33"/>
      <c r="Z156" s="33"/>
      <c r="AA156" s="129"/>
      <c r="AB156" s="129"/>
      <c r="AC156" s="33"/>
      <c r="AD156" s="33"/>
      <c r="AE156" s="218"/>
      <c r="AF156" s="218"/>
      <c r="AG156" s="33">
        <v>1.5</v>
      </c>
      <c r="AH156" s="33">
        <v>1.5</v>
      </c>
      <c r="AI156" s="129"/>
      <c r="AJ156" s="129"/>
      <c r="AK156" s="33">
        <v>1.5</v>
      </c>
      <c r="AL156" s="33">
        <v>1.5</v>
      </c>
      <c r="AM156" s="218"/>
      <c r="AN156" s="218"/>
      <c r="AO156" s="33"/>
      <c r="AP156" s="33"/>
      <c r="AQ156" s="129"/>
      <c r="AR156" s="129"/>
      <c r="AS156" s="33"/>
      <c r="AT156" s="33"/>
      <c r="AU156" s="218"/>
      <c r="AV156" s="33"/>
      <c r="AW156" s="33"/>
      <c r="AX156" s="33"/>
      <c r="AY156" s="33"/>
      <c r="AZ156" s="33"/>
      <c r="BA156" s="33"/>
      <c r="BB156" s="218"/>
      <c r="BC156" s="410"/>
      <c r="BD156" s="345"/>
    </row>
    <row r="157" spans="1:56">
      <c r="A157" s="424"/>
      <c r="B157" s="427"/>
      <c r="C157" s="438"/>
      <c r="D157" s="5">
        <f t="shared" si="9"/>
        <v>5</v>
      </c>
      <c r="E157" s="5">
        <v>1</v>
      </c>
      <c r="F157" s="10" t="s">
        <v>36</v>
      </c>
      <c r="G157" s="5">
        <v>7.5</v>
      </c>
      <c r="H157" s="5">
        <f t="shared" si="10"/>
        <v>0</v>
      </c>
      <c r="I157" s="287" t="s">
        <v>34</v>
      </c>
      <c r="J157" s="408"/>
      <c r="K157" s="119"/>
      <c r="L157" s="33"/>
      <c r="M157" s="218"/>
      <c r="N157" s="218"/>
      <c r="O157" s="33"/>
      <c r="P157" s="33"/>
      <c r="Q157" s="33"/>
      <c r="R157" s="122"/>
      <c r="S157" s="122"/>
      <c r="T157" s="33"/>
      <c r="U157" s="33"/>
      <c r="V157" s="33"/>
      <c r="W157" s="218"/>
      <c r="X157" s="218"/>
      <c r="Y157" s="33"/>
      <c r="Z157" s="33"/>
      <c r="AA157" s="129"/>
      <c r="AB157" s="129"/>
      <c r="AC157" s="33"/>
      <c r="AD157" s="33"/>
      <c r="AE157" s="218"/>
      <c r="AF157" s="218"/>
      <c r="AG157" s="33"/>
      <c r="AH157" s="33">
        <v>1.5</v>
      </c>
      <c r="AI157" s="129"/>
      <c r="AJ157" s="129"/>
      <c r="AK157" s="33">
        <v>1.5</v>
      </c>
      <c r="AL157" s="33">
        <v>1.5</v>
      </c>
      <c r="AM157" s="218"/>
      <c r="AN157" s="218"/>
      <c r="AO157" s="33">
        <v>1.5</v>
      </c>
      <c r="AP157" s="33">
        <v>1.5</v>
      </c>
      <c r="AQ157" s="129"/>
      <c r="AR157" s="129"/>
      <c r="AS157" s="33"/>
      <c r="AT157" s="33"/>
      <c r="AU157" s="218"/>
      <c r="AV157" s="33"/>
      <c r="AW157" s="33"/>
      <c r="AX157" s="33"/>
      <c r="AY157" s="33"/>
      <c r="AZ157" s="33"/>
      <c r="BA157" s="33"/>
      <c r="BB157" s="218"/>
      <c r="BC157" s="410"/>
      <c r="BD157" s="345"/>
    </row>
    <row r="158" spans="1:56" ht="15.75" thickBot="1">
      <c r="A158" s="425"/>
      <c r="B158" s="428"/>
      <c r="C158" s="405"/>
      <c r="D158" s="18">
        <f t="shared" si="9"/>
        <v>5</v>
      </c>
      <c r="E158" s="18">
        <v>1</v>
      </c>
      <c r="F158" s="16" t="s">
        <v>39</v>
      </c>
      <c r="G158" s="18">
        <v>15</v>
      </c>
      <c r="H158" s="18">
        <f t="shared" si="10"/>
        <v>0</v>
      </c>
      <c r="I158" s="288">
        <v>124</v>
      </c>
      <c r="J158" s="412"/>
      <c r="K158" s="120"/>
      <c r="L158" s="115"/>
      <c r="M158" s="219"/>
      <c r="N158" s="219"/>
      <c r="O158" s="115"/>
      <c r="P158" s="115"/>
      <c r="Q158" s="115"/>
      <c r="R158" s="123"/>
      <c r="S158" s="123"/>
      <c r="T158" s="115"/>
      <c r="U158" s="115"/>
      <c r="V158" s="115"/>
      <c r="W158" s="219"/>
      <c r="X158" s="219"/>
      <c r="Y158" s="115"/>
      <c r="Z158" s="115"/>
      <c r="AA158" s="130"/>
      <c r="AB158" s="130"/>
      <c r="AC158" s="115"/>
      <c r="AD158" s="115"/>
      <c r="AE158" s="219"/>
      <c r="AF158" s="219"/>
      <c r="AG158" s="115"/>
      <c r="AH158" s="115"/>
      <c r="AI158" s="130"/>
      <c r="AJ158" s="130"/>
      <c r="AK158" s="115"/>
      <c r="AL158" s="115"/>
      <c r="AM158" s="219"/>
      <c r="AN158" s="219"/>
      <c r="AO158" s="115"/>
      <c r="AP158" s="115"/>
      <c r="AQ158" s="130"/>
      <c r="AR158" s="130"/>
      <c r="AS158" s="115">
        <v>3</v>
      </c>
      <c r="AT158" s="115">
        <v>3</v>
      </c>
      <c r="AU158" s="219"/>
      <c r="AV158" s="115">
        <v>3</v>
      </c>
      <c r="AW158" s="115">
        <v>3</v>
      </c>
      <c r="AX158" s="115">
        <v>3</v>
      </c>
      <c r="AY158" s="115"/>
      <c r="AZ158" s="115"/>
      <c r="BA158" s="115"/>
      <c r="BB158" s="219"/>
      <c r="BC158" s="411"/>
      <c r="BD158" s="324"/>
    </row>
    <row r="159" spans="1:56" ht="15.75" thickTop="1">
      <c r="A159" s="423" t="s">
        <v>116</v>
      </c>
      <c r="B159" s="426" t="s">
        <v>59</v>
      </c>
      <c r="C159" s="429" t="s">
        <v>45</v>
      </c>
      <c r="D159" s="17">
        <f t="shared" si="9"/>
        <v>7</v>
      </c>
      <c r="E159" s="17">
        <v>0</v>
      </c>
      <c r="F159" s="15" t="s">
        <v>33</v>
      </c>
      <c r="G159" s="17">
        <v>10.5</v>
      </c>
      <c r="H159" s="17">
        <f t="shared" si="10"/>
        <v>0</v>
      </c>
      <c r="I159" s="286" t="s">
        <v>34</v>
      </c>
      <c r="J159" s="407" t="s">
        <v>35</v>
      </c>
      <c r="K159" s="118"/>
      <c r="L159" s="114"/>
      <c r="M159" s="220"/>
      <c r="N159" s="220"/>
      <c r="O159" s="114"/>
      <c r="P159" s="114"/>
      <c r="Q159" s="114"/>
      <c r="R159" s="121"/>
      <c r="S159" s="121"/>
      <c r="T159" s="114"/>
      <c r="U159" s="114"/>
      <c r="V159" s="114"/>
      <c r="W159" s="220"/>
      <c r="X159" s="220"/>
      <c r="Y159" s="114"/>
      <c r="Z159" s="114"/>
      <c r="AA159" s="128"/>
      <c r="AB159" s="128"/>
      <c r="AC159" s="114"/>
      <c r="AD159" s="114"/>
      <c r="AE159" s="220"/>
      <c r="AF159" s="220"/>
      <c r="AG159" s="114"/>
      <c r="AH159" s="114">
        <v>1.5</v>
      </c>
      <c r="AI159" s="128"/>
      <c r="AJ159" s="128"/>
      <c r="AK159" s="114">
        <v>1.5</v>
      </c>
      <c r="AL159" s="114">
        <v>1.5</v>
      </c>
      <c r="AM159" s="220">
        <v>1.5</v>
      </c>
      <c r="AN159" s="220">
        <v>1.5</v>
      </c>
      <c r="AO159" s="114">
        <v>1.5</v>
      </c>
      <c r="AP159" s="114">
        <v>1.5</v>
      </c>
      <c r="AQ159" s="128"/>
      <c r="AR159" s="128"/>
      <c r="AS159" s="114"/>
      <c r="AT159" s="114"/>
      <c r="AU159" s="220"/>
      <c r="AV159" s="114"/>
      <c r="AW159" s="114"/>
      <c r="AX159" s="114"/>
      <c r="AY159" s="114"/>
      <c r="AZ159" s="114"/>
      <c r="BA159" s="114"/>
      <c r="BB159" s="220"/>
      <c r="BC159" s="409"/>
      <c r="BD159" s="322"/>
    </row>
    <row r="160" spans="1:56">
      <c r="A160" s="424"/>
      <c r="B160" s="427"/>
      <c r="C160" s="430"/>
      <c r="D160" s="5">
        <f t="shared" si="9"/>
        <v>7</v>
      </c>
      <c r="E160" s="5">
        <v>0</v>
      </c>
      <c r="F160" s="10" t="s">
        <v>36</v>
      </c>
      <c r="G160" s="5">
        <v>10.5</v>
      </c>
      <c r="H160" s="5">
        <f t="shared" si="10"/>
        <v>0</v>
      </c>
      <c r="I160" s="287" t="s">
        <v>34</v>
      </c>
      <c r="J160" s="408"/>
      <c r="K160" s="119"/>
      <c r="L160" s="33"/>
      <c r="M160" s="218"/>
      <c r="N160" s="218"/>
      <c r="O160" s="33"/>
      <c r="P160" s="33"/>
      <c r="Q160" s="33"/>
      <c r="R160" s="122"/>
      <c r="S160" s="122"/>
      <c r="T160" s="33"/>
      <c r="U160" s="33"/>
      <c r="V160" s="33"/>
      <c r="W160" s="218"/>
      <c r="X160" s="218"/>
      <c r="Y160" s="33"/>
      <c r="Z160" s="33"/>
      <c r="AA160" s="129"/>
      <c r="AB160" s="129"/>
      <c r="AC160" s="33"/>
      <c r="AD160" s="33"/>
      <c r="AE160" s="218"/>
      <c r="AF160" s="218"/>
      <c r="AG160" s="33"/>
      <c r="AH160" s="33">
        <v>1.5</v>
      </c>
      <c r="AI160" s="129"/>
      <c r="AJ160" s="129"/>
      <c r="AK160" s="33">
        <v>1.5</v>
      </c>
      <c r="AL160" s="33">
        <v>1.5</v>
      </c>
      <c r="AM160" s="218">
        <v>1.5</v>
      </c>
      <c r="AN160" s="218">
        <v>1.5</v>
      </c>
      <c r="AO160" s="33">
        <v>1.5</v>
      </c>
      <c r="AP160" s="33">
        <v>1.5</v>
      </c>
      <c r="AQ160" s="129"/>
      <c r="AR160" s="129"/>
      <c r="AS160" s="33"/>
      <c r="AT160" s="33"/>
      <c r="AU160" s="218"/>
      <c r="AV160" s="33"/>
      <c r="AW160" s="33"/>
      <c r="AX160" s="33"/>
      <c r="AY160" s="33"/>
      <c r="AZ160" s="33"/>
      <c r="BA160" s="33"/>
      <c r="BB160" s="218"/>
      <c r="BC160" s="410"/>
      <c r="BD160" s="345"/>
    </row>
    <row r="161" spans="1:56">
      <c r="A161" s="424"/>
      <c r="B161" s="427"/>
      <c r="C161" s="430"/>
      <c r="D161" s="5">
        <f t="shared" si="9"/>
        <v>4</v>
      </c>
      <c r="E161" s="5">
        <v>0</v>
      </c>
      <c r="F161" s="10" t="s">
        <v>39</v>
      </c>
      <c r="G161" s="5">
        <v>12</v>
      </c>
      <c r="H161" s="5">
        <f t="shared" si="10"/>
        <v>0</v>
      </c>
      <c r="I161" s="287">
        <v>19</v>
      </c>
      <c r="J161" s="408"/>
      <c r="K161" s="119"/>
      <c r="L161" s="33"/>
      <c r="M161" s="218"/>
      <c r="N161" s="218"/>
      <c r="O161" s="33"/>
      <c r="P161" s="33"/>
      <c r="Q161" s="33"/>
      <c r="R161" s="122"/>
      <c r="S161" s="122"/>
      <c r="T161" s="33"/>
      <c r="U161" s="33"/>
      <c r="V161" s="33"/>
      <c r="W161" s="218"/>
      <c r="X161" s="218"/>
      <c r="Y161" s="33"/>
      <c r="Z161" s="33"/>
      <c r="AA161" s="129"/>
      <c r="AB161" s="129"/>
      <c r="AC161" s="33"/>
      <c r="AD161" s="33"/>
      <c r="AE161" s="218"/>
      <c r="AF161" s="218"/>
      <c r="AG161" s="33"/>
      <c r="AH161" s="33"/>
      <c r="AI161" s="129"/>
      <c r="AJ161" s="129"/>
      <c r="AK161" s="33"/>
      <c r="AL161" s="33"/>
      <c r="AM161" s="218"/>
      <c r="AN161" s="218"/>
      <c r="AO161" s="33"/>
      <c r="AP161" s="33"/>
      <c r="AQ161" s="129"/>
      <c r="AR161" s="129"/>
      <c r="AS161" s="33">
        <v>3</v>
      </c>
      <c r="AT161" s="33">
        <v>3</v>
      </c>
      <c r="AU161" s="218">
        <v>3</v>
      </c>
      <c r="AV161" s="33">
        <v>3</v>
      </c>
      <c r="AW161" s="33"/>
      <c r="AX161" s="33"/>
      <c r="AY161" s="33"/>
      <c r="AZ161" s="33"/>
      <c r="BA161" s="33"/>
      <c r="BB161" s="218"/>
      <c r="BC161" s="410"/>
      <c r="BD161" s="345"/>
    </row>
    <row r="162" spans="1:56">
      <c r="A162" s="424"/>
      <c r="B162" s="427"/>
      <c r="C162" s="430"/>
      <c r="D162" s="7">
        <f t="shared" si="9"/>
        <v>7</v>
      </c>
      <c r="E162" s="7">
        <v>1</v>
      </c>
      <c r="F162" s="25" t="s">
        <v>33</v>
      </c>
      <c r="G162" s="7">
        <v>10.5</v>
      </c>
      <c r="H162" s="7">
        <f t="shared" si="10"/>
        <v>0</v>
      </c>
      <c r="I162" s="7" t="s">
        <v>34</v>
      </c>
      <c r="J162" s="408" t="s">
        <v>37</v>
      </c>
      <c r="K162" s="119"/>
      <c r="L162" s="33"/>
      <c r="M162" s="218"/>
      <c r="N162" s="218"/>
      <c r="O162" s="33"/>
      <c r="P162" s="33"/>
      <c r="Q162" s="33"/>
      <c r="R162" s="122"/>
      <c r="S162" s="122"/>
      <c r="T162" s="33"/>
      <c r="U162" s="33"/>
      <c r="V162" s="33"/>
      <c r="W162" s="218"/>
      <c r="X162" s="218"/>
      <c r="Y162" s="33"/>
      <c r="Z162" s="33"/>
      <c r="AA162" s="129"/>
      <c r="AB162" s="129"/>
      <c r="AC162" s="33"/>
      <c r="AD162" s="33"/>
      <c r="AE162" s="218"/>
      <c r="AF162" s="218"/>
      <c r="AG162" s="33"/>
      <c r="AH162" s="33">
        <v>1.5</v>
      </c>
      <c r="AI162" s="129"/>
      <c r="AJ162" s="129"/>
      <c r="AK162" s="33">
        <v>1.5</v>
      </c>
      <c r="AL162" s="33">
        <v>1.5</v>
      </c>
      <c r="AM162" s="218"/>
      <c r="AN162" s="218"/>
      <c r="AO162" s="33">
        <v>1.5</v>
      </c>
      <c r="AP162" s="33">
        <v>1.5</v>
      </c>
      <c r="AQ162" s="129"/>
      <c r="AR162" s="129"/>
      <c r="AS162" s="33">
        <v>1.5</v>
      </c>
      <c r="AT162" s="33">
        <v>1.5</v>
      </c>
      <c r="AU162" s="218"/>
      <c r="AV162" s="33"/>
      <c r="AW162" s="33"/>
      <c r="AX162" s="33"/>
      <c r="AY162" s="33"/>
      <c r="AZ162" s="33"/>
      <c r="BA162" s="33"/>
      <c r="BB162" s="218"/>
      <c r="BC162" s="410"/>
      <c r="BD162" s="345"/>
    </row>
    <row r="163" spans="1:56">
      <c r="A163" s="424"/>
      <c r="B163" s="427"/>
      <c r="C163" s="430"/>
      <c r="D163" s="5">
        <f t="shared" si="9"/>
        <v>7</v>
      </c>
      <c r="E163" s="5">
        <v>1</v>
      </c>
      <c r="F163" s="10" t="s">
        <v>36</v>
      </c>
      <c r="G163" s="5">
        <v>10.5</v>
      </c>
      <c r="H163" s="5">
        <f t="shared" si="10"/>
        <v>0</v>
      </c>
      <c r="I163" s="287" t="s">
        <v>34</v>
      </c>
      <c r="J163" s="408"/>
      <c r="K163" s="119"/>
      <c r="L163" s="33"/>
      <c r="M163" s="218"/>
      <c r="N163" s="218"/>
      <c r="O163" s="33"/>
      <c r="P163" s="33"/>
      <c r="Q163" s="33"/>
      <c r="R163" s="122"/>
      <c r="S163" s="122"/>
      <c r="T163" s="33"/>
      <c r="U163" s="33"/>
      <c r="V163" s="33"/>
      <c r="W163" s="218"/>
      <c r="X163" s="218"/>
      <c r="Y163" s="33"/>
      <c r="Z163" s="33"/>
      <c r="AA163" s="129"/>
      <c r="AB163" s="129"/>
      <c r="AC163" s="33"/>
      <c r="AD163" s="33"/>
      <c r="AE163" s="218"/>
      <c r="AF163" s="218"/>
      <c r="AG163" s="33"/>
      <c r="AH163" s="33">
        <v>1.5</v>
      </c>
      <c r="AI163" s="129"/>
      <c r="AJ163" s="129"/>
      <c r="AK163" s="33">
        <v>1.5</v>
      </c>
      <c r="AL163" s="33">
        <v>1.5</v>
      </c>
      <c r="AM163" s="218"/>
      <c r="AN163" s="218"/>
      <c r="AO163" s="33">
        <v>1.5</v>
      </c>
      <c r="AP163" s="33">
        <v>1.5</v>
      </c>
      <c r="AQ163" s="129"/>
      <c r="AR163" s="129"/>
      <c r="AS163" s="33">
        <v>1.5</v>
      </c>
      <c r="AT163" s="33">
        <v>1.5</v>
      </c>
      <c r="AU163" s="218"/>
      <c r="AV163" s="33"/>
      <c r="AW163" s="33"/>
      <c r="AX163" s="33"/>
      <c r="AY163" s="33"/>
      <c r="AZ163" s="33"/>
      <c r="BA163" s="33"/>
      <c r="BB163" s="218"/>
      <c r="BC163" s="410"/>
      <c r="BD163" s="345"/>
    </row>
    <row r="164" spans="1:56" ht="15.75" thickBot="1">
      <c r="A164" s="425"/>
      <c r="B164" s="428"/>
      <c r="C164" s="431"/>
      <c r="D164" s="18">
        <f t="shared" si="9"/>
        <v>4</v>
      </c>
      <c r="E164" s="18">
        <v>1</v>
      </c>
      <c r="F164" s="16" t="s">
        <v>39</v>
      </c>
      <c r="G164" s="18">
        <v>12</v>
      </c>
      <c r="H164" s="18">
        <f t="shared" si="10"/>
        <v>0</v>
      </c>
      <c r="I164" s="288">
        <v>19</v>
      </c>
      <c r="J164" s="412"/>
      <c r="K164" s="120"/>
      <c r="L164" s="115"/>
      <c r="M164" s="219"/>
      <c r="N164" s="219"/>
      <c r="O164" s="115"/>
      <c r="P164" s="115"/>
      <c r="Q164" s="115"/>
      <c r="R164" s="123"/>
      <c r="S164" s="123"/>
      <c r="T164" s="115"/>
      <c r="U164" s="115"/>
      <c r="V164" s="115"/>
      <c r="W164" s="219"/>
      <c r="X164" s="219"/>
      <c r="Y164" s="115"/>
      <c r="Z164" s="115"/>
      <c r="AA164" s="130"/>
      <c r="AB164" s="130"/>
      <c r="AC164" s="115"/>
      <c r="AD164" s="115"/>
      <c r="AE164" s="219"/>
      <c r="AF164" s="219"/>
      <c r="AG164" s="115"/>
      <c r="AH164" s="115"/>
      <c r="AI164" s="130"/>
      <c r="AJ164" s="130"/>
      <c r="AK164" s="115"/>
      <c r="AL164" s="115"/>
      <c r="AM164" s="219"/>
      <c r="AN164" s="219"/>
      <c r="AO164" s="115"/>
      <c r="AP164" s="115"/>
      <c r="AQ164" s="130"/>
      <c r="AR164" s="130"/>
      <c r="AS164" s="115"/>
      <c r="AT164" s="115"/>
      <c r="AU164" s="219"/>
      <c r="AV164" s="115">
        <v>3</v>
      </c>
      <c r="AW164" s="115">
        <v>3</v>
      </c>
      <c r="AX164" s="115">
        <v>3</v>
      </c>
      <c r="AY164" s="115">
        <v>3</v>
      </c>
      <c r="AZ164" s="115"/>
      <c r="BA164" s="115"/>
      <c r="BB164" s="219"/>
      <c r="BC164" s="411"/>
      <c r="BD164" s="324"/>
    </row>
    <row r="165" spans="1:56" ht="15.75" thickTop="1">
      <c r="A165" s="423" t="s">
        <v>117</v>
      </c>
      <c r="B165" s="426" t="s">
        <v>118</v>
      </c>
      <c r="C165" s="429" t="s">
        <v>73</v>
      </c>
      <c r="D165" s="17">
        <f t="shared" si="9"/>
        <v>2</v>
      </c>
      <c r="E165" s="17">
        <v>0</v>
      </c>
      <c r="F165" s="15" t="s">
        <v>33</v>
      </c>
      <c r="G165" s="17">
        <v>3</v>
      </c>
      <c r="H165" s="17">
        <f t="shared" si="10"/>
        <v>0</v>
      </c>
      <c r="I165" s="286" t="s">
        <v>34</v>
      </c>
      <c r="J165" s="407" t="s">
        <v>35</v>
      </c>
      <c r="K165" s="118"/>
      <c r="L165" s="114"/>
      <c r="M165" s="220"/>
      <c r="N165" s="220"/>
      <c r="O165" s="114"/>
      <c r="P165" s="114"/>
      <c r="Q165" s="114"/>
      <c r="R165" s="121"/>
      <c r="S165" s="121"/>
      <c r="T165" s="114"/>
      <c r="U165" s="114"/>
      <c r="V165" s="114"/>
      <c r="W165" s="220"/>
      <c r="X165" s="220"/>
      <c r="Y165" s="114"/>
      <c r="Z165" s="114"/>
      <c r="AA165" s="128"/>
      <c r="AB165" s="128"/>
      <c r="AC165" s="114"/>
      <c r="AD165" s="114"/>
      <c r="AE165" s="220">
        <v>1.5</v>
      </c>
      <c r="AF165" s="220">
        <v>1.5</v>
      </c>
      <c r="AG165" s="114"/>
      <c r="AH165" s="114"/>
      <c r="AI165" s="128"/>
      <c r="AJ165" s="128"/>
      <c r="AK165" s="114"/>
      <c r="AL165" s="114"/>
      <c r="AM165" s="220"/>
      <c r="AN165" s="220"/>
      <c r="AO165" s="114"/>
      <c r="AP165" s="114"/>
      <c r="AQ165" s="128"/>
      <c r="AR165" s="128"/>
      <c r="AS165" s="114"/>
      <c r="AT165" s="114"/>
      <c r="AU165" s="220"/>
      <c r="AV165" s="114"/>
      <c r="AW165" s="114"/>
      <c r="AX165" s="114"/>
      <c r="AY165" s="114"/>
      <c r="AZ165" s="114"/>
      <c r="BA165" s="114"/>
      <c r="BB165" s="220"/>
      <c r="BC165" s="409"/>
      <c r="BD165" s="322"/>
    </row>
    <row r="166" spans="1:56">
      <c r="A166" s="424"/>
      <c r="B166" s="427"/>
      <c r="C166" s="430"/>
      <c r="D166" s="5">
        <f t="shared" si="9"/>
        <v>2</v>
      </c>
      <c r="E166" s="5">
        <v>0</v>
      </c>
      <c r="F166" s="10" t="s">
        <v>36</v>
      </c>
      <c r="G166" s="5">
        <v>3</v>
      </c>
      <c r="H166" s="5">
        <f t="shared" si="10"/>
        <v>0</v>
      </c>
      <c r="I166" s="287" t="s">
        <v>34</v>
      </c>
      <c r="J166" s="408"/>
      <c r="K166" s="119"/>
      <c r="L166" s="33"/>
      <c r="M166" s="218"/>
      <c r="N166" s="218"/>
      <c r="O166" s="33"/>
      <c r="P166" s="33"/>
      <c r="Q166" s="33"/>
      <c r="R166" s="122"/>
      <c r="S166" s="122"/>
      <c r="T166" s="33"/>
      <c r="U166" s="33"/>
      <c r="V166" s="33"/>
      <c r="W166" s="218"/>
      <c r="X166" s="218"/>
      <c r="Y166" s="33"/>
      <c r="Z166" s="33"/>
      <c r="AA166" s="129"/>
      <c r="AB166" s="129"/>
      <c r="AC166" s="33"/>
      <c r="AD166" s="33"/>
      <c r="AE166" s="218"/>
      <c r="AF166" s="218"/>
      <c r="AG166" s="33">
        <v>1.5</v>
      </c>
      <c r="AH166" s="33">
        <v>1.5</v>
      </c>
      <c r="AI166" s="129"/>
      <c r="AJ166" s="129"/>
      <c r="AK166" s="33"/>
      <c r="AL166" s="33"/>
      <c r="AM166" s="218"/>
      <c r="AN166" s="218"/>
      <c r="AO166" s="33"/>
      <c r="AP166" s="33"/>
      <c r="AQ166" s="129"/>
      <c r="AR166" s="129"/>
      <c r="AS166" s="33"/>
      <c r="AT166" s="33"/>
      <c r="AU166" s="218"/>
      <c r="AV166" s="33"/>
      <c r="AW166" s="33"/>
      <c r="AX166" s="33"/>
      <c r="AY166" s="33"/>
      <c r="AZ166" s="33"/>
      <c r="BA166" s="33"/>
      <c r="BB166" s="218"/>
      <c r="BC166" s="410"/>
      <c r="BD166" s="345"/>
    </row>
    <row r="167" spans="1:56">
      <c r="A167" s="424"/>
      <c r="B167" s="427"/>
      <c r="C167" s="430"/>
      <c r="D167" s="5">
        <f t="shared" si="9"/>
        <v>2</v>
      </c>
      <c r="E167" s="10">
        <v>0</v>
      </c>
      <c r="F167" s="11" t="s">
        <v>39</v>
      </c>
      <c r="G167" s="5">
        <v>6</v>
      </c>
      <c r="H167" s="5">
        <f t="shared" si="10"/>
        <v>0</v>
      </c>
      <c r="I167" s="287">
        <v>123</v>
      </c>
      <c r="J167" s="408"/>
      <c r="K167" s="119"/>
      <c r="L167" s="33"/>
      <c r="M167" s="218"/>
      <c r="N167" s="218"/>
      <c r="O167" s="33"/>
      <c r="P167" s="33"/>
      <c r="Q167" s="33"/>
      <c r="R167" s="122"/>
      <c r="S167" s="122"/>
      <c r="T167" s="33"/>
      <c r="U167" s="33"/>
      <c r="V167" s="33"/>
      <c r="W167" s="218"/>
      <c r="X167" s="218"/>
      <c r="Y167" s="33"/>
      <c r="Z167" s="33"/>
      <c r="AA167" s="129"/>
      <c r="AB167" s="129"/>
      <c r="AC167" s="33"/>
      <c r="AD167" s="33"/>
      <c r="AE167" s="218"/>
      <c r="AF167" s="218"/>
      <c r="AG167" s="33"/>
      <c r="AH167" s="33"/>
      <c r="AI167" s="129"/>
      <c r="AJ167" s="129"/>
      <c r="AK167" s="33">
        <v>3</v>
      </c>
      <c r="AL167" s="33">
        <v>3</v>
      </c>
      <c r="AM167" s="218"/>
      <c r="AN167" s="218"/>
      <c r="AO167" s="33"/>
      <c r="AP167" s="33"/>
      <c r="AQ167" s="129"/>
      <c r="AR167" s="129"/>
      <c r="AS167" s="33"/>
      <c r="AT167" s="33"/>
      <c r="AU167" s="218"/>
      <c r="AV167" s="33"/>
      <c r="AW167" s="33"/>
      <c r="AX167" s="33"/>
      <c r="AY167" s="33"/>
      <c r="AZ167" s="33"/>
      <c r="BA167" s="33"/>
      <c r="BB167" s="218"/>
      <c r="BC167" s="410"/>
      <c r="BD167" s="345"/>
    </row>
    <row r="168" spans="1:56">
      <c r="A168" s="424"/>
      <c r="B168" s="427"/>
      <c r="C168" s="430"/>
      <c r="D168" s="7">
        <f t="shared" si="9"/>
        <v>2</v>
      </c>
      <c r="E168" s="7">
        <v>1</v>
      </c>
      <c r="F168" s="25" t="s">
        <v>33</v>
      </c>
      <c r="G168" s="7">
        <v>3</v>
      </c>
      <c r="H168" s="7">
        <f t="shared" si="10"/>
        <v>0</v>
      </c>
      <c r="I168" s="7" t="s">
        <v>34</v>
      </c>
      <c r="J168" s="408" t="s">
        <v>37</v>
      </c>
      <c r="K168" s="119"/>
      <c r="L168" s="33"/>
      <c r="M168" s="218"/>
      <c r="N168" s="218"/>
      <c r="O168" s="33"/>
      <c r="P168" s="33"/>
      <c r="Q168" s="33"/>
      <c r="R168" s="122"/>
      <c r="S168" s="122"/>
      <c r="T168" s="33"/>
      <c r="U168" s="33"/>
      <c r="V168" s="33"/>
      <c r="W168" s="218"/>
      <c r="X168" s="218"/>
      <c r="Y168" s="33"/>
      <c r="Z168" s="33"/>
      <c r="AA168" s="129"/>
      <c r="AB168" s="129"/>
      <c r="AC168" s="33"/>
      <c r="AD168" s="33"/>
      <c r="AE168" s="218"/>
      <c r="AF168" s="218"/>
      <c r="AG168" s="33">
        <v>1.5</v>
      </c>
      <c r="AH168" s="33"/>
      <c r="AI168" s="129"/>
      <c r="AJ168" s="129"/>
      <c r="AK168" s="33"/>
      <c r="AL168" s="33">
        <v>1.5</v>
      </c>
      <c r="AM168" s="218"/>
      <c r="AN168" s="218"/>
      <c r="AO168" s="33"/>
      <c r="AP168" s="33"/>
      <c r="AQ168" s="129"/>
      <c r="AR168" s="129"/>
      <c r="AS168" s="33"/>
      <c r="AT168" s="33"/>
      <c r="AU168" s="218"/>
      <c r="AV168" s="33"/>
      <c r="AW168" s="33"/>
      <c r="AX168" s="33"/>
      <c r="AY168" s="33"/>
      <c r="AZ168" s="33"/>
      <c r="BA168" s="33"/>
      <c r="BB168" s="218"/>
      <c r="BC168" s="410"/>
      <c r="BD168" s="345"/>
    </row>
    <row r="169" spans="1:56">
      <c r="A169" s="424"/>
      <c r="B169" s="427"/>
      <c r="C169" s="430"/>
      <c r="D169" s="5">
        <f t="shared" si="9"/>
        <v>2</v>
      </c>
      <c r="E169" s="5">
        <v>1</v>
      </c>
      <c r="F169" s="10" t="s">
        <v>36</v>
      </c>
      <c r="G169" s="5">
        <v>3</v>
      </c>
      <c r="H169" s="5">
        <f t="shared" si="10"/>
        <v>0</v>
      </c>
      <c r="I169" s="287" t="s">
        <v>34</v>
      </c>
      <c r="J169" s="408"/>
      <c r="K169" s="119"/>
      <c r="L169" s="33"/>
      <c r="M169" s="218"/>
      <c r="N169" s="218"/>
      <c r="O169" s="33"/>
      <c r="P169" s="33"/>
      <c r="Q169" s="33"/>
      <c r="R169" s="122"/>
      <c r="S169" s="122"/>
      <c r="T169" s="33"/>
      <c r="U169" s="33"/>
      <c r="V169" s="33"/>
      <c r="W169" s="218"/>
      <c r="X169" s="218"/>
      <c r="Y169" s="33"/>
      <c r="Z169" s="33"/>
      <c r="AA169" s="129"/>
      <c r="AB169" s="129"/>
      <c r="AC169" s="33"/>
      <c r="AD169" s="33"/>
      <c r="AE169" s="218"/>
      <c r="AF169" s="218"/>
      <c r="AG169" s="33"/>
      <c r="AH169" s="33">
        <v>1.5</v>
      </c>
      <c r="AI169" s="129"/>
      <c r="AJ169" s="129"/>
      <c r="AK169" s="33">
        <v>1.5</v>
      </c>
      <c r="AL169" s="33"/>
      <c r="AM169" s="218"/>
      <c r="AN169" s="218"/>
      <c r="AO169" s="33"/>
      <c r="AP169" s="33"/>
      <c r="AQ169" s="129"/>
      <c r="AR169" s="129"/>
      <c r="AS169" s="33"/>
      <c r="AT169" s="33"/>
      <c r="AU169" s="218"/>
      <c r="AV169" s="33"/>
      <c r="AW169" s="33"/>
      <c r="AX169" s="33"/>
      <c r="AY169" s="33"/>
      <c r="AZ169" s="33"/>
      <c r="BA169" s="33"/>
      <c r="BB169" s="218"/>
      <c r="BC169" s="410"/>
      <c r="BD169" s="345"/>
    </row>
    <row r="170" spans="1:56" ht="15.75" thickBot="1">
      <c r="A170" s="425"/>
      <c r="B170" s="428"/>
      <c r="C170" s="431"/>
      <c r="D170" s="18">
        <f t="shared" si="9"/>
        <v>2</v>
      </c>
      <c r="E170" s="18">
        <v>1</v>
      </c>
      <c r="F170" s="16" t="s">
        <v>39</v>
      </c>
      <c r="G170" s="18">
        <v>6</v>
      </c>
      <c r="H170" s="18">
        <f t="shared" si="10"/>
        <v>0</v>
      </c>
      <c r="I170" s="288">
        <v>123</v>
      </c>
      <c r="J170" s="412"/>
      <c r="K170" s="120"/>
      <c r="L170" s="115"/>
      <c r="M170" s="219"/>
      <c r="N170" s="219"/>
      <c r="O170" s="115"/>
      <c r="P170" s="115"/>
      <c r="Q170" s="115"/>
      <c r="R170" s="123"/>
      <c r="S170" s="123"/>
      <c r="T170" s="115"/>
      <c r="U170" s="115"/>
      <c r="V170" s="115"/>
      <c r="W170" s="219"/>
      <c r="X170" s="219"/>
      <c r="Y170" s="115"/>
      <c r="Z170" s="115"/>
      <c r="AA170" s="130"/>
      <c r="AB170" s="130"/>
      <c r="AC170" s="115"/>
      <c r="AD170" s="115"/>
      <c r="AE170" s="219"/>
      <c r="AF170" s="219"/>
      <c r="AG170" s="115"/>
      <c r="AH170" s="115"/>
      <c r="AI170" s="130"/>
      <c r="AJ170" s="130"/>
      <c r="AK170" s="115"/>
      <c r="AL170" s="115"/>
      <c r="AM170" s="219"/>
      <c r="AN170" s="219"/>
      <c r="AO170" s="115">
        <v>3</v>
      </c>
      <c r="AP170" s="115">
        <v>3</v>
      </c>
      <c r="AQ170" s="130"/>
      <c r="AR170" s="130"/>
      <c r="AS170" s="115"/>
      <c r="AT170" s="115"/>
      <c r="AU170" s="219"/>
      <c r="AV170" s="115"/>
      <c r="AW170" s="115"/>
      <c r="AX170" s="115"/>
      <c r="AY170" s="115"/>
      <c r="AZ170" s="115"/>
      <c r="BA170" s="115"/>
      <c r="BB170" s="219"/>
      <c r="BC170" s="411"/>
      <c r="BD170" s="324"/>
    </row>
    <row r="171" spans="1:56" ht="15.75" thickTop="1">
      <c r="A171" s="423" t="s">
        <v>119</v>
      </c>
      <c r="B171" s="426" t="s">
        <v>120</v>
      </c>
      <c r="C171" s="429" t="s">
        <v>66</v>
      </c>
      <c r="D171" s="17">
        <f t="shared" si="9"/>
        <v>2</v>
      </c>
      <c r="E171" s="17">
        <v>0</v>
      </c>
      <c r="F171" s="15" t="s">
        <v>33</v>
      </c>
      <c r="G171" s="17">
        <v>3</v>
      </c>
      <c r="H171" s="17">
        <f t="shared" si="10"/>
        <v>0</v>
      </c>
      <c r="I171" s="286" t="s">
        <v>34</v>
      </c>
      <c r="J171" s="407" t="s">
        <v>35</v>
      </c>
      <c r="K171" s="118"/>
      <c r="L171" s="114"/>
      <c r="M171" s="220"/>
      <c r="N171" s="220"/>
      <c r="O171" s="114"/>
      <c r="P171" s="114"/>
      <c r="Q171" s="114"/>
      <c r="R171" s="121"/>
      <c r="S171" s="121"/>
      <c r="T171" s="114"/>
      <c r="U171" s="114"/>
      <c r="V171" s="114"/>
      <c r="W171" s="220"/>
      <c r="X171" s="220"/>
      <c r="Y171" s="114"/>
      <c r="Z171" s="114"/>
      <c r="AA171" s="128"/>
      <c r="AB171" s="128"/>
      <c r="AC171" s="114"/>
      <c r="AD171" s="114"/>
      <c r="AE171" s="220">
        <v>1.5</v>
      </c>
      <c r="AF171" s="220">
        <v>1.5</v>
      </c>
      <c r="AG171" s="114"/>
      <c r="AH171" s="114"/>
      <c r="AI171" s="128"/>
      <c r="AJ171" s="128"/>
      <c r="AK171" s="114"/>
      <c r="AL171" s="114"/>
      <c r="AM171" s="220"/>
      <c r="AN171" s="220"/>
      <c r="AO171" s="114"/>
      <c r="AP171" s="114"/>
      <c r="AQ171" s="128"/>
      <c r="AR171" s="128"/>
      <c r="AS171" s="114"/>
      <c r="AT171" s="114"/>
      <c r="AU171" s="220"/>
      <c r="AV171" s="114"/>
      <c r="AW171" s="114"/>
      <c r="AX171" s="114"/>
      <c r="AY171" s="114"/>
      <c r="AZ171" s="114"/>
      <c r="BA171" s="114"/>
      <c r="BB171" s="220"/>
      <c r="BC171" s="409"/>
      <c r="BD171" s="322"/>
    </row>
    <row r="172" spans="1:56">
      <c r="A172" s="424"/>
      <c r="B172" s="427"/>
      <c r="C172" s="430"/>
      <c r="D172" s="5">
        <f t="shared" si="9"/>
        <v>2</v>
      </c>
      <c r="E172" s="5">
        <v>0</v>
      </c>
      <c r="F172" s="10" t="s">
        <v>36</v>
      </c>
      <c r="G172" s="5">
        <v>3</v>
      </c>
      <c r="H172" s="5">
        <f t="shared" si="10"/>
        <v>0</v>
      </c>
      <c r="I172" s="287" t="s">
        <v>34</v>
      </c>
      <c r="J172" s="408"/>
      <c r="K172" s="119"/>
      <c r="L172" s="33"/>
      <c r="M172" s="218"/>
      <c r="N172" s="218"/>
      <c r="O172" s="33"/>
      <c r="P172" s="33"/>
      <c r="Q172" s="33"/>
      <c r="R172" s="122"/>
      <c r="S172" s="122"/>
      <c r="T172" s="33"/>
      <c r="U172" s="33"/>
      <c r="V172" s="33"/>
      <c r="W172" s="218"/>
      <c r="X172" s="218"/>
      <c r="Y172" s="33"/>
      <c r="Z172" s="33"/>
      <c r="AA172" s="129"/>
      <c r="AB172" s="129"/>
      <c r="AC172" s="33"/>
      <c r="AD172" s="33"/>
      <c r="AE172" s="218"/>
      <c r="AF172" s="218"/>
      <c r="AG172" s="33">
        <v>1.5</v>
      </c>
      <c r="AH172" s="33">
        <v>1.5</v>
      </c>
      <c r="AI172" s="129"/>
      <c r="AJ172" s="129"/>
      <c r="AK172" s="33"/>
      <c r="AL172" s="33"/>
      <c r="AM172" s="218"/>
      <c r="AN172" s="218"/>
      <c r="AO172" s="33"/>
      <c r="AP172" s="33"/>
      <c r="AQ172" s="129"/>
      <c r="AR172" s="129"/>
      <c r="AS172" s="33"/>
      <c r="AT172" s="33"/>
      <c r="AU172" s="218"/>
      <c r="AV172" s="33"/>
      <c r="AW172" s="33"/>
      <c r="AX172" s="33"/>
      <c r="AY172" s="33"/>
      <c r="AZ172" s="33"/>
      <c r="BA172" s="33"/>
      <c r="BB172" s="218"/>
      <c r="BC172" s="410"/>
      <c r="BD172" s="345"/>
    </row>
    <row r="173" spans="1:56">
      <c r="A173" s="424"/>
      <c r="B173" s="427"/>
      <c r="C173" s="430"/>
      <c r="D173" s="5">
        <f t="shared" si="9"/>
        <v>9</v>
      </c>
      <c r="E173" s="5">
        <v>0</v>
      </c>
      <c r="F173" s="10" t="s">
        <v>99</v>
      </c>
      <c r="G173" s="5">
        <v>18</v>
      </c>
      <c r="H173" s="5">
        <f t="shared" si="10"/>
        <v>0</v>
      </c>
      <c r="I173" s="287" t="s">
        <v>34</v>
      </c>
      <c r="J173" s="408"/>
      <c r="K173" s="119"/>
      <c r="L173" s="33"/>
      <c r="M173" s="218"/>
      <c r="N173" s="218"/>
      <c r="O173" s="33"/>
      <c r="P173" s="33"/>
      <c r="Q173" s="33"/>
      <c r="R173" s="122"/>
      <c r="S173" s="122"/>
      <c r="T173" s="33"/>
      <c r="U173" s="33"/>
      <c r="V173" s="33"/>
      <c r="W173" s="218"/>
      <c r="X173" s="218"/>
      <c r="Y173" s="33"/>
      <c r="Z173" s="33"/>
      <c r="AA173" s="129"/>
      <c r="AB173" s="129"/>
      <c r="AC173" s="33"/>
      <c r="AD173" s="33"/>
      <c r="AE173" s="218"/>
      <c r="AF173" s="218"/>
      <c r="AG173" s="33"/>
      <c r="AH173" s="33"/>
      <c r="AI173" s="129"/>
      <c r="AJ173" s="129"/>
      <c r="AK173" s="33">
        <v>2</v>
      </c>
      <c r="AL173" s="33">
        <v>2</v>
      </c>
      <c r="AM173" s="218">
        <v>2</v>
      </c>
      <c r="AN173" s="218">
        <v>2</v>
      </c>
      <c r="AO173" s="33">
        <v>2</v>
      </c>
      <c r="AP173" s="33">
        <v>2</v>
      </c>
      <c r="AQ173" s="129"/>
      <c r="AR173" s="129"/>
      <c r="AS173" s="33">
        <v>2</v>
      </c>
      <c r="AT173" s="33">
        <v>2</v>
      </c>
      <c r="AU173" s="218">
        <v>2</v>
      </c>
      <c r="AV173" s="33"/>
      <c r="AW173" s="33"/>
      <c r="AX173" s="33"/>
      <c r="AY173" s="33"/>
      <c r="AZ173" s="33"/>
      <c r="BA173" s="33"/>
      <c r="BB173" s="218"/>
      <c r="BC173" s="410"/>
      <c r="BD173" s="345"/>
    </row>
    <row r="174" spans="1:56">
      <c r="A174" s="424"/>
      <c r="B174" s="427"/>
      <c r="C174" s="5" t="s">
        <v>32</v>
      </c>
      <c r="D174" s="5">
        <f t="shared" si="9"/>
        <v>2</v>
      </c>
      <c r="E174" s="5">
        <v>0</v>
      </c>
      <c r="F174" s="10" t="s">
        <v>36</v>
      </c>
      <c r="G174" s="5">
        <v>3</v>
      </c>
      <c r="H174" s="5">
        <f t="shared" si="10"/>
        <v>0</v>
      </c>
      <c r="I174" s="287" t="s">
        <v>34</v>
      </c>
      <c r="J174" s="408"/>
      <c r="K174" s="119"/>
      <c r="L174" s="33"/>
      <c r="M174" s="218"/>
      <c r="N174" s="218"/>
      <c r="O174" s="33"/>
      <c r="P174" s="33"/>
      <c r="Q174" s="33"/>
      <c r="R174" s="122"/>
      <c r="S174" s="122"/>
      <c r="T174" s="33"/>
      <c r="U174" s="33"/>
      <c r="V174" s="33"/>
      <c r="W174" s="218"/>
      <c r="X174" s="218"/>
      <c r="Y174" s="33"/>
      <c r="Z174" s="33"/>
      <c r="AA174" s="129"/>
      <c r="AB174" s="129"/>
      <c r="AC174" s="33"/>
      <c r="AD174" s="33"/>
      <c r="AE174" s="218">
        <v>1.5</v>
      </c>
      <c r="AF174" s="218">
        <v>1.5</v>
      </c>
      <c r="AG174" s="33"/>
      <c r="AH174" s="33"/>
      <c r="AI174" s="129"/>
      <c r="AJ174" s="129"/>
      <c r="AK174" s="33"/>
      <c r="AL174" s="33"/>
      <c r="AM174" s="218"/>
      <c r="AN174" s="218"/>
      <c r="AO174" s="33"/>
      <c r="AP174" s="33"/>
      <c r="AQ174" s="129"/>
      <c r="AR174" s="129"/>
      <c r="AS174" s="33"/>
      <c r="AT174" s="33"/>
      <c r="AU174" s="218"/>
      <c r="AV174" s="33"/>
      <c r="AW174" s="33"/>
      <c r="AX174" s="33"/>
      <c r="AY174" s="33"/>
      <c r="AZ174" s="33"/>
      <c r="BA174" s="33"/>
      <c r="BB174" s="218"/>
      <c r="BC174" s="410"/>
      <c r="BD174" s="345"/>
    </row>
    <row r="175" spans="1:56">
      <c r="A175" s="424"/>
      <c r="B175" s="427"/>
      <c r="C175" s="430" t="s">
        <v>66</v>
      </c>
      <c r="D175" s="7">
        <f t="shared" ref="D175:D205" si="11">COUNT(K175:BA175)</f>
        <v>2</v>
      </c>
      <c r="E175" s="7">
        <v>1</v>
      </c>
      <c r="F175" s="25" t="s">
        <v>33</v>
      </c>
      <c r="G175" s="7">
        <v>3</v>
      </c>
      <c r="H175" s="7">
        <f t="shared" si="10"/>
        <v>0</v>
      </c>
      <c r="I175" s="7" t="s">
        <v>34</v>
      </c>
      <c r="J175" s="408" t="s">
        <v>37</v>
      </c>
      <c r="K175" s="119"/>
      <c r="L175" s="33"/>
      <c r="M175" s="218"/>
      <c r="N175" s="218"/>
      <c r="O175" s="33"/>
      <c r="P175" s="33"/>
      <c r="Q175" s="33"/>
      <c r="R175" s="122"/>
      <c r="S175" s="122"/>
      <c r="T175" s="33"/>
      <c r="U175" s="33"/>
      <c r="V175" s="33"/>
      <c r="W175" s="218"/>
      <c r="X175" s="218"/>
      <c r="Y175" s="33"/>
      <c r="Z175" s="33"/>
      <c r="AA175" s="129"/>
      <c r="AB175" s="129"/>
      <c r="AC175" s="33"/>
      <c r="AD175" s="33"/>
      <c r="AE175" s="218"/>
      <c r="AF175" s="218"/>
      <c r="AG175" s="33"/>
      <c r="AH175" s="33">
        <v>1.5</v>
      </c>
      <c r="AI175" s="129"/>
      <c r="AJ175" s="129"/>
      <c r="AK175" s="33"/>
      <c r="AL175" s="33">
        <v>1.5</v>
      </c>
      <c r="AM175" s="218"/>
      <c r="AN175" s="218"/>
      <c r="AO175" s="33"/>
      <c r="AP175" s="33"/>
      <c r="AQ175" s="129"/>
      <c r="AR175" s="129"/>
      <c r="AS175" s="33"/>
      <c r="AT175" s="33"/>
      <c r="AU175" s="218"/>
      <c r="AV175" s="33"/>
      <c r="AW175" s="33"/>
      <c r="AX175" s="33"/>
      <c r="AY175" s="33"/>
      <c r="AZ175" s="33"/>
      <c r="BA175" s="33"/>
      <c r="BB175" s="218"/>
      <c r="BC175" s="410"/>
      <c r="BD175" s="345"/>
    </row>
    <row r="176" spans="1:56">
      <c r="A176" s="424"/>
      <c r="B176" s="427"/>
      <c r="C176" s="430"/>
      <c r="D176" s="5">
        <f t="shared" si="11"/>
        <v>2</v>
      </c>
      <c r="E176" s="5">
        <v>1</v>
      </c>
      <c r="F176" s="10" t="s">
        <v>36</v>
      </c>
      <c r="G176" s="5">
        <v>3</v>
      </c>
      <c r="H176" s="5">
        <f t="shared" ref="H176:H201" si="12">G176-SUM(K176:BB176)</f>
        <v>0</v>
      </c>
      <c r="I176" s="287" t="s">
        <v>34</v>
      </c>
      <c r="J176" s="408"/>
      <c r="K176" s="119"/>
      <c r="L176" s="33"/>
      <c r="M176" s="218"/>
      <c r="N176" s="218"/>
      <c r="O176" s="33"/>
      <c r="P176" s="33"/>
      <c r="Q176" s="33"/>
      <c r="R176" s="122"/>
      <c r="S176" s="122"/>
      <c r="T176" s="33"/>
      <c r="U176" s="33"/>
      <c r="V176" s="33"/>
      <c r="W176" s="218"/>
      <c r="X176" s="218"/>
      <c r="Y176" s="33"/>
      <c r="Z176" s="33"/>
      <c r="AA176" s="129"/>
      <c r="AB176" s="129"/>
      <c r="AC176" s="33"/>
      <c r="AD176" s="33"/>
      <c r="AE176" s="218"/>
      <c r="AF176" s="218"/>
      <c r="AG176" s="33"/>
      <c r="AH176" s="33"/>
      <c r="AI176" s="129"/>
      <c r="AJ176" s="129"/>
      <c r="AK176" s="33">
        <v>1.5</v>
      </c>
      <c r="AL176" s="33"/>
      <c r="AM176" s="218"/>
      <c r="AN176" s="218"/>
      <c r="AO176" s="33">
        <v>1.5</v>
      </c>
      <c r="AP176" s="33"/>
      <c r="AQ176" s="129"/>
      <c r="AR176" s="129"/>
      <c r="AS176" s="33"/>
      <c r="AT176" s="33"/>
      <c r="AU176" s="218"/>
      <c r="AV176" s="33"/>
      <c r="AW176" s="33"/>
      <c r="AX176" s="33"/>
      <c r="AY176" s="33"/>
      <c r="AZ176" s="33"/>
      <c r="BA176" s="33"/>
      <c r="BB176" s="218"/>
      <c r="BC176" s="410"/>
      <c r="BD176" s="345"/>
    </row>
    <row r="177" spans="1:56">
      <c r="A177" s="424"/>
      <c r="B177" s="427"/>
      <c r="C177" s="430"/>
      <c r="D177" s="5">
        <f t="shared" si="11"/>
        <v>9</v>
      </c>
      <c r="E177" s="5">
        <v>1</v>
      </c>
      <c r="F177" s="10" t="s">
        <v>99</v>
      </c>
      <c r="G177" s="5">
        <v>18</v>
      </c>
      <c r="H177" s="5">
        <f t="shared" si="12"/>
        <v>0</v>
      </c>
      <c r="I177" s="287" t="s">
        <v>34</v>
      </c>
      <c r="J177" s="408"/>
      <c r="K177" s="119"/>
      <c r="L177" s="33"/>
      <c r="M177" s="218"/>
      <c r="N177" s="218"/>
      <c r="O177" s="33"/>
      <c r="P177" s="33"/>
      <c r="Q177" s="33"/>
      <c r="R177" s="122"/>
      <c r="S177" s="122"/>
      <c r="T177" s="33"/>
      <c r="U177" s="33"/>
      <c r="V177" s="33"/>
      <c r="W177" s="218"/>
      <c r="X177" s="218"/>
      <c r="Y177" s="33"/>
      <c r="Z177" s="33"/>
      <c r="AA177" s="129"/>
      <c r="AB177" s="129"/>
      <c r="AC177" s="33"/>
      <c r="AD177" s="33"/>
      <c r="AE177" s="218"/>
      <c r="AF177" s="218"/>
      <c r="AG177" s="33"/>
      <c r="AH177" s="33"/>
      <c r="AI177" s="129"/>
      <c r="AJ177" s="129"/>
      <c r="AK177" s="33"/>
      <c r="AL177" s="33"/>
      <c r="AM177" s="218"/>
      <c r="AN177" s="218"/>
      <c r="AO177" s="33"/>
      <c r="AP177" s="33">
        <v>2</v>
      </c>
      <c r="AQ177" s="129"/>
      <c r="AR177" s="129"/>
      <c r="AS177" s="33">
        <v>2</v>
      </c>
      <c r="AT177" s="33">
        <v>2</v>
      </c>
      <c r="AU177" s="218"/>
      <c r="AV177" s="33">
        <v>2</v>
      </c>
      <c r="AW177" s="33">
        <v>2</v>
      </c>
      <c r="AX177" s="33">
        <v>2</v>
      </c>
      <c r="AY177" s="33">
        <v>2</v>
      </c>
      <c r="AZ177" s="33">
        <v>2</v>
      </c>
      <c r="BA177" s="33">
        <v>2</v>
      </c>
      <c r="BB177" s="218"/>
      <c r="BC177" s="410"/>
      <c r="BD177" s="345"/>
    </row>
    <row r="178" spans="1:56" ht="15.75" thickBot="1">
      <c r="A178" s="425"/>
      <c r="B178" s="428"/>
      <c r="C178" s="18" t="s">
        <v>32</v>
      </c>
      <c r="D178" s="18">
        <f t="shared" si="11"/>
        <v>2</v>
      </c>
      <c r="E178" s="18">
        <v>1</v>
      </c>
      <c r="F178" s="16" t="s">
        <v>36</v>
      </c>
      <c r="G178" s="18">
        <v>3</v>
      </c>
      <c r="H178" s="18">
        <f t="shared" si="12"/>
        <v>0</v>
      </c>
      <c r="I178" s="288" t="s">
        <v>34</v>
      </c>
      <c r="J178" s="412"/>
      <c r="K178" s="120"/>
      <c r="L178" s="115"/>
      <c r="M178" s="219"/>
      <c r="N178" s="219"/>
      <c r="O178" s="115"/>
      <c r="P178" s="115"/>
      <c r="Q178" s="115"/>
      <c r="R178" s="123"/>
      <c r="S178" s="123"/>
      <c r="T178" s="115"/>
      <c r="U178" s="115"/>
      <c r="V178" s="115"/>
      <c r="W178" s="219"/>
      <c r="X178" s="219"/>
      <c r="Y178" s="115"/>
      <c r="Z178" s="115"/>
      <c r="AA178" s="130"/>
      <c r="AB178" s="130"/>
      <c r="AC178" s="115"/>
      <c r="AD178" s="115"/>
      <c r="AE178" s="219"/>
      <c r="AF178" s="219"/>
      <c r="AG178" s="115">
        <v>1.5</v>
      </c>
      <c r="AH178" s="115">
        <v>1.5</v>
      </c>
      <c r="AI178" s="130"/>
      <c r="AJ178" s="130"/>
      <c r="AK178" s="115"/>
      <c r="AL178" s="115"/>
      <c r="AM178" s="219"/>
      <c r="AN178" s="219"/>
      <c r="AO178" s="115"/>
      <c r="AP178" s="115"/>
      <c r="AQ178" s="130"/>
      <c r="AR178" s="130"/>
      <c r="AS178" s="115"/>
      <c r="AT178" s="115"/>
      <c r="AU178" s="219"/>
      <c r="AV178" s="115"/>
      <c r="AW178" s="115"/>
      <c r="AX178" s="115"/>
      <c r="AY178" s="115"/>
      <c r="AZ178" s="115"/>
      <c r="BA178" s="115"/>
      <c r="BB178" s="219"/>
      <c r="BC178" s="411"/>
      <c r="BD178" s="324"/>
    </row>
    <row r="179" spans="1:56" ht="15.75" thickTop="1">
      <c r="A179" s="423" t="s">
        <v>121</v>
      </c>
      <c r="B179" s="426" t="s">
        <v>122</v>
      </c>
      <c r="C179" s="429" t="s">
        <v>123</v>
      </c>
      <c r="D179" s="17">
        <f t="shared" si="11"/>
        <v>6</v>
      </c>
      <c r="E179" s="17">
        <v>0</v>
      </c>
      <c r="F179" s="15" t="s">
        <v>36</v>
      </c>
      <c r="G179" s="17">
        <v>9</v>
      </c>
      <c r="H179" s="17">
        <f t="shared" si="12"/>
        <v>0</v>
      </c>
      <c r="I179" s="286" t="s">
        <v>34</v>
      </c>
      <c r="J179" s="407" t="s">
        <v>35</v>
      </c>
      <c r="K179" s="118"/>
      <c r="L179" s="114"/>
      <c r="M179" s="220"/>
      <c r="N179" s="220"/>
      <c r="O179" s="114"/>
      <c r="P179" s="114"/>
      <c r="Q179" s="114"/>
      <c r="R179" s="121"/>
      <c r="S179" s="121"/>
      <c r="T179" s="114"/>
      <c r="U179" s="114"/>
      <c r="V179" s="114"/>
      <c r="W179" s="220"/>
      <c r="X179" s="220"/>
      <c r="Y179" s="114"/>
      <c r="Z179" s="114"/>
      <c r="AA179" s="128"/>
      <c r="AB179" s="128"/>
      <c r="AC179" s="114"/>
      <c r="AD179" s="114"/>
      <c r="AE179" s="220">
        <v>1.5</v>
      </c>
      <c r="AF179" s="220">
        <v>1.5</v>
      </c>
      <c r="AG179" s="114">
        <v>1.5</v>
      </c>
      <c r="AH179" s="114"/>
      <c r="AI179" s="128"/>
      <c r="AJ179" s="128"/>
      <c r="AK179" s="114"/>
      <c r="AL179" s="114"/>
      <c r="AM179" s="220">
        <v>1.5</v>
      </c>
      <c r="AN179" s="220">
        <v>1.5</v>
      </c>
      <c r="AO179" s="114">
        <v>1.5</v>
      </c>
      <c r="AP179" s="114"/>
      <c r="AQ179" s="128"/>
      <c r="AR179" s="128"/>
      <c r="AS179" s="114"/>
      <c r="AT179" s="114"/>
      <c r="AU179" s="220"/>
      <c r="AV179" s="114"/>
      <c r="AW179" s="114"/>
      <c r="AX179" s="114"/>
      <c r="AY179" s="114"/>
      <c r="AZ179" s="114"/>
      <c r="BA179" s="114"/>
      <c r="BB179" s="220"/>
      <c r="BC179" s="409"/>
      <c r="BD179" s="322"/>
    </row>
    <row r="180" spans="1:56">
      <c r="A180" s="424"/>
      <c r="B180" s="427"/>
      <c r="C180" s="430"/>
      <c r="D180" s="5">
        <f t="shared" si="11"/>
        <v>7</v>
      </c>
      <c r="E180" s="5">
        <v>0</v>
      </c>
      <c r="F180" s="59" t="s">
        <v>99</v>
      </c>
      <c r="G180" s="5">
        <v>14</v>
      </c>
      <c r="H180" s="5">
        <f t="shared" si="12"/>
        <v>0</v>
      </c>
      <c r="I180" s="287" t="s">
        <v>34</v>
      </c>
      <c r="J180" s="408"/>
      <c r="K180" s="119"/>
      <c r="L180" s="33"/>
      <c r="M180" s="218"/>
      <c r="N180" s="218"/>
      <c r="O180" s="33"/>
      <c r="P180" s="33"/>
      <c r="Q180" s="33"/>
      <c r="R180" s="122"/>
      <c r="S180" s="122"/>
      <c r="T180" s="33"/>
      <c r="U180" s="33"/>
      <c r="V180" s="33"/>
      <c r="W180" s="218"/>
      <c r="X180" s="218"/>
      <c r="Y180" s="33"/>
      <c r="Z180" s="33"/>
      <c r="AA180" s="129"/>
      <c r="AB180" s="129"/>
      <c r="AC180" s="33"/>
      <c r="AD180" s="33"/>
      <c r="AE180" s="218"/>
      <c r="AF180" s="218"/>
      <c r="AG180" s="33"/>
      <c r="AH180" s="33">
        <v>2</v>
      </c>
      <c r="AI180" s="129"/>
      <c r="AJ180" s="129"/>
      <c r="AK180" s="33">
        <v>2</v>
      </c>
      <c r="AL180" s="33">
        <v>2</v>
      </c>
      <c r="AM180" s="218"/>
      <c r="AN180" s="218"/>
      <c r="AO180" s="33"/>
      <c r="AP180" s="33">
        <v>2</v>
      </c>
      <c r="AQ180" s="129"/>
      <c r="AR180" s="129"/>
      <c r="AS180" s="33">
        <v>2</v>
      </c>
      <c r="AT180" s="33">
        <v>2</v>
      </c>
      <c r="AU180" s="218">
        <v>2</v>
      </c>
      <c r="AV180" s="33"/>
      <c r="AW180" s="33"/>
      <c r="AX180" s="33"/>
      <c r="AY180" s="33"/>
      <c r="AZ180" s="33"/>
      <c r="BA180" s="33"/>
      <c r="BB180" s="218"/>
      <c r="BC180" s="410"/>
      <c r="BD180" s="345"/>
    </row>
    <row r="181" spans="1:56">
      <c r="A181" s="424"/>
      <c r="B181" s="427"/>
      <c r="C181" s="430"/>
      <c r="D181" s="5">
        <f t="shared" si="11"/>
        <v>6</v>
      </c>
      <c r="E181" s="5">
        <v>1</v>
      </c>
      <c r="F181" s="10" t="s">
        <v>36</v>
      </c>
      <c r="G181" s="5">
        <v>9</v>
      </c>
      <c r="H181" s="5">
        <f t="shared" si="12"/>
        <v>0</v>
      </c>
      <c r="I181" s="287" t="s">
        <v>34</v>
      </c>
      <c r="J181" s="408" t="s">
        <v>37</v>
      </c>
      <c r="K181" s="119"/>
      <c r="L181" s="33"/>
      <c r="M181" s="218"/>
      <c r="N181" s="218"/>
      <c r="O181" s="33"/>
      <c r="P181" s="33"/>
      <c r="Q181" s="33"/>
      <c r="R181" s="122"/>
      <c r="S181" s="122"/>
      <c r="T181" s="33"/>
      <c r="U181" s="33"/>
      <c r="V181" s="33"/>
      <c r="W181" s="218"/>
      <c r="X181" s="218"/>
      <c r="Y181" s="33"/>
      <c r="Z181" s="33"/>
      <c r="AA181" s="129"/>
      <c r="AB181" s="129"/>
      <c r="AC181" s="33"/>
      <c r="AD181" s="33"/>
      <c r="AE181" s="218"/>
      <c r="AF181" s="218"/>
      <c r="AG181" s="33">
        <v>1.5</v>
      </c>
      <c r="AH181" s="33">
        <v>1.5</v>
      </c>
      <c r="AI181" s="129"/>
      <c r="AJ181" s="129"/>
      <c r="AK181" s="33">
        <v>1.5</v>
      </c>
      <c r="AL181" s="33"/>
      <c r="AM181" s="218"/>
      <c r="AN181" s="218"/>
      <c r="AO181" s="33"/>
      <c r="AP181" s="33"/>
      <c r="AQ181" s="129"/>
      <c r="AR181" s="129"/>
      <c r="AS181" s="33">
        <v>1.5</v>
      </c>
      <c r="AT181" s="33">
        <v>1.5</v>
      </c>
      <c r="AU181" s="218"/>
      <c r="AV181" s="33">
        <v>1.5</v>
      </c>
      <c r="AW181" s="33"/>
      <c r="AX181" s="33"/>
      <c r="AY181" s="33"/>
      <c r="AZ181" s="33"/>
      <c r="BA181" s="33"/>
      <c r="BB181" s="218"/>
      <c r="BC181" s="410"/>
      <c r="BD181" s="345"/>
    </row>
    <row r="182" spans="1:56" ht="15.75" thickBot="1">
      <c r="A182" s="425"/>
      <c r="B182" s="428"/>
      <c r="C182" s="431"/>
      <c r="D182" s="18">
        <f t="shared" si="11"/>
        <v>7</v>
      </c>
      <c r="E182" s="18">
        <v>1</v>
      </c>
      <c r="F182" s="16" t="s">
        <v>99</v>
      </c>
      <c r="G182" s="18">
        <v>14</v>
      </c>
      <c r="H182" s="18">
        <f t="shared" si="12"/>
        <v>0</v>
      </c>
      <c r="I182" s="288" t="s">
        <v>34</v>
      </c>
      <c r="J182" s="412"/>
      <c r="K182" s="120"/>
      <c r="L182" s="115"/>
      <c r="M182" s="219"/>
      <c r="N182" s="219"/>
      <c r="O182" s="115"/>
      <c r="P182" s="115"/>
      <c r="Q182" s="115"/>
      <c r="R182" s="123"/>
      <c r="S182" s="123"/>
      <c r="T182" s="115"/>
      <c r="U182" s="115"/>
      <c r="V182" s="115"/>
      <c r="W182" s="219"/>
      <c r="X182" s="219"/>
      <c r="Y182" s="115"/>
      <c r="Z182" s="115"/>
      <c r="AA182" s="130"/>
      <c r="AB182" s="130"/>
      <c r="AC182" s="115"/>
      <c r="AD182" s="115"/>
      <c r="AE182" s="219"/>
      <c r="AF182" s="219"/>
      <c r="AG182" s="115"/>
      <c r="AH182" s="115"/>
      <c r="AI182" s="130"/>
      <c r="AJ182" s="130"/>
      <c r="AK182" s="115"/>
      <c r="AL182" s="115">
        <v>2</v>
      </c>
      <c r="AM182" s="219"/>
      <c r="AN182" s="219"/>
      <c r="AO182" s="115">
        <v>2</v>
      </c>
      <c r="AP182" s="115">
        <v>2</v>
      </c>
      <c r="AQ182" s="130"/>
      <c r="AR182" s="130"/>
      <c r="AS182" s="115"/>
      <c r="AT182" s="115"/>
      <c r="AU182" s="219"/>
      <c r="AV182" s="115"/>
      <c r="AW182" s="115">
        <v>2</v>
      </c>
      <c r="AX182" s="115">
        <v>2</v>
      </c>
      <c r="AY182" s="115">
        <v>2</v>
      </c>
      <c r="AZ182" s="115">
        <v>2</v>
      </c>
      <c r="BA182" s="115"/>
      <c r="BB182" s="219"/>
      <c r="BC182" s="411"/>
      <c r="BD182" s="324"/>
    </row>
    <row r="183" spans="1:56" ht="15.75" thickTop="1">
      <c r="A183" s="423" t="s">
        <v>124</v>
      </c>
      <c r="B183" s="426" t="s">
        <v>125</v>
      </c>
      <c r="C183" s="429" t="s">
        <v>75</v>
      </c>
      <c r="D183" s="17">
        <f t="shared" si="11"/>
        <v>5</v>
      </c>
      <c r="E183" s="17">
        <v>0</v>
      </c>
      <c r="F183" s="15" t="s">
        <v>36</v>
      </c>
      <c r="G183" s="17">
        <v>7.5</v>
      </c>
      <c r="H183" s="17">
        <f t="shared" si="12"/>
        <v>0</v>
      </c>
      <c r="I183" s="286" t="s">
        <v>34</v>
      </c>
      <c r="J183" s="407" t="s">
        <v>35</v>
      </c>
      <c r="K183" s="118"/>
      <c r="L183" s="114"/>
      <c r="M183" s="220"/>
      <c r="N183" s="220"/>
      <c r="O183" s="114"/>
      <c r="P183" s="114"/>
      <c r="Q183" s="114"/>
      <c r="R183" s="121"/>
      <c r="S183" s="121"/>
      <c r="T183" s="114"/>
      <c r="U183" s="114"/>
      <c r="V183" s="114"/>
      <c r="W183" s="220"/>
      <c r="X183" s="220"/>
      <c r="Y183" s="114"/>
      <c r="Z183" s="114"/>
      <c r="AA183" s="128"/>
      <c r="AB183" s="128"/>
      <c r="AC183" s="114"/>
      <c r="AD183" s="114"/>
      <c r="AE183" s="220"/>
      <c r="AF183" s="220"/>
      <c r="AG183" s="114"/>
      <c r="AH183" s="114"/>
      <c r="AI183" s="128"/>
      <c r="AJ183" s="128"/>
      <c r="AK183" s="114"/>
      <c r="AL183" s="114"/>
      <c r="AM183" s="220"/>
      <c r="AN183" s="220"/>
      <c r="AO183" s="114"/>
      <c r="AP183" s="114">
        <v>1.5</v>
      </c>
      <c r="AQ183" s="128"/>
      <c r="AR183" s="128"/>
      <c r="AS183" s="114">
        <v>1.5</v>
      </c>
      <c r="AT183" s="114">
        <v>1.5</v>
      </c>
      <c r="AU183" s="220">
        <v>1.5</v>
      </c>
      <c r="AV183" s="114">
        <v>1.5</v>
      </c>
      <c r="AW183" s="114"/>
      <c r="AX183" s="114"/>
      <c r="AY183" s="114"/>
      <c r="AZ183" s="114"/>
      <c r="BA183" s="114"/>
      <c r="BB183" s="220"/>
      <c r="BC183" s="409"/>
      <c r="BD183" s="322"/>
    </row>
    <row r="184" spans="1:56">
      <c r="A184" s="424"/>
      <c r="B184" s="427"/>
      <c r="C184" s="430"/>
      <c r="D184" s="5">
        <f t="shared" si="11"/>
        <v>1</v>
      </c>
      <c r="E184" s="5">
        <v>0</v>
      </c>
      <c r="F184" s="59" t="s">
        <v>99</v>
      </c>
      <c r="G184" s="5">
        <v>3</v>
      </c>
      <c r="H184" s="5">
        <f t="shared" si="12"/>
        <v>0</v>
      </c>
      <c r="I184" s="287" t="s">
        <v>34</v>
      </c>
      <c r="J184" s="408"/>
      <c r="K184" s="119"/>
      <c r="L184" s="33"/>
      <c r="M184" s="218"/>
      <c r="N184" s="218"/>
      <c r="O184" s="33"/>
      <c r="P184" s="33"/>
      <c r="Q184" s="33"/>
      <c r="R184" s="122"/>
      <c r="S184" s="122"/>
      <c r="T184" s="33"/>
      <c r="U184" s="33"/>
      <c r="V184" s="33"/>
      <c r="W184" s="218"/>
      <c r="X184" s="218"/>
      <c r="Y184" s="33"/>
      <c r="Z184" s="33"/>
      <c r="AA184" s="129"/>
      <c r="AB184" s="129"/>
      <c r="AC184" s="33"/>
      <c r="AD184" s="33"/>
      <c r="AE184" s="218"/>
      <c r="AF184" s="218"/>
      <c r="AG184" s="33"/>
      <c r="AH184" s="33"/>
      <c r="AI184" s="129"/>
      <c r="AJ184" s="129"/>
      <c r="AK184" s="33"/>
      <c r="AL184" s="33"/>
      <c r="AM184" s="218"/>
      <c r="AN184" s="218"/>
      <c r="AO184" s="33"/>
      <c r="AP184" s="33"/>
      <c r="AQ184" s="129"/>
      <c r="AR184" s="129"/>
      <c r="AS184" s="33"/>
      <c r="AT184" s="33"/>
      <c r="AU184" s="218"/>
      <c r="AV184" s="33"/>
      <c r="AW184" s="33">
        <v>3</v>
      </c>
      <c r="AX184" s="33"/>
      <c r="AY184" s="33"/>
      <c r="AZ184" s="33"/>
      <c r="BA184" s="33"/>
      <c r="BB184" s="218"/>
      <c r="BC184" s="410"/>
      <c r="BD184" s="345"/>
    </row>
    <row r="185" spans="1:56">
      <c r="A185" s="424"/>
      <c r="B185" s="427"/>
      <c r="C185" s="430"/>
      <c r="D185" s="5">
        <f t="shared" si="11"/>
        <v>5</v>
      </c>
      <c r="E185" s="5">
        <v>1</v>
      </c>
      <c r="F185" s="10" t="s">
        <v>36</v>
      </c>
      <c r="G185" s="5">
        <v>7.5</v>
      </c>
      <c r="H185" s="5">
        <f t="shared" si="12"/>
        <v>0</v>
      </c>
      <c r="I185" s="287" t="s">
        <v>34</v>
      </c>
      <c r="J185" s="408" t="s">
        <v>37</v>
      </c>
      <c r="K185" s="119"/>
      <c r="L185" s="33"/>
      <c r="M185" s="218"/>
      <c r="N185" s="218"/>
      <c r="O185" s="33"/>
      <c r="P185" s="33"/>
      <c r="Q185" s="33"/>
      <c r="R185" s="122"/>
      <c r="S185" s="122"/>
      <c r="T185" s="33"/>
      <c r="U185" s="33"/>
      <c r="V185" s="33"/>
      <c r="W185" s="218"/>
      <c r="X185" s="218"/>
      <c r="Y185" s="33"/>
      <c r="Z185" s="33"/>
      <c r="AA185" s="129"/>
      <c r="AB185" s="129"/>
      <c r="AC185" s="33"/>
      <c r="AD185" s="33"/>
      <c r="AE185" s="218"/>
      <c r="AF185" s="218"/>
      <c r="AG185" s="33"/>
      <c r="AH185" s="33"/>
      <c r="AI185" s="129"/>
      <c r="AJ185" s="129"/>
      <c r="AK185" s="33"/>
      <c r="AL185" s="33"/>
      <c r="AM185" s="218"/>
      <c r="AN185" s="218"/>
      <c r="AO185" s="33"/>
      <c r="AP185" s="33">
        <v>1.5</v>
      </c>
      <c r="AQ185" s="129"/>
      <c r="AR185" s="129"/>
      <c r="AS185" s="33">
        <v>1.5</v>
      </c>
      <c r="AT185" s="33">
        <v>1.5</v>
      </c>
      <c r="AU185" s="218"/>
      <c r="AV185" s="33">
        <v>1.5</v>
      </c>
      <c r="AW185" s="33">
        <v>1.5</v>
      </c>
      <c r="AX185" s="33"/>
      <c r="AY185" s="33"/>
      <c r="AZ185" s="33"/>
      <c r="BA185" s="33"/>
      <c r="BB185" s="218"/>
      <c r="BC185" s="410"/>
      <c r="BD185" s="345"/>
    </row>
    <row r="186" spans="1:56" ht="15.75" thickBot="1">
      <c r="A186" s="425"/>
      <c r="B186" s="428"/>
      <c r="C186" s="431"/>
      <c r="D186" s="18">
        <f t="shared" si="11"/>
        <v>1</v>
      </c>
      <c r="E186" s="18">
        <v>1</v>
      </c>
      <c r="F186" s="16" t="s">
        <v>99</v>
      </c>
      <c r="G186" s="18">
        <v>3</v>
      </c>
      <c r="H186" s="18">
        <f t="shared" si="12"/>
        <v>0</v>
      </c>
      <c r="I186" s="288" t="s">
        <v>34</v>
      </c>
      <c r="J186" s="412"/>
      <c r="K186" s="120"/>
      <c r="L186" s="115"/>
      <c r="M186" s="219"/>
      <c r="N186" s="219"/>
      <c r="O186" s="115"/>
      <c r="P186" s="115"/>
      <c r="Q186" s="115"/>
      <c r="R186" s="123"/>
      <c r="S186" s="123"/>
      <c r="T186" s="115"/>
      <c r="U186" s="115"/>
      <c r="V186" s="115"/>
      <c r="W186" s="219"/>
      <c r="X186" s="219"/>
      <c r="Y186" s="115"/>
      <c r="Z186" s="115"/>
      <c r="AA186" s="130"/>
      <c r="AB186" s="130"/>
      <c r="AC186" s="115"/>
      <c r="AD186" s="115"/>
      <c r="AE186" s="219"/>
      <c r="AF186" s="219"/>
      <c r="AG186" s="115"/>
      <c r="AH186" s="115"/>
      <c r="AI186" s="130"/>
      <c r="AJ186" s="130"/>
      <c r="AK186" s="115"/>
      <c r="AL186" s="115"/>
      <c r="AM186" s="219"/>
      <c r="AN186" s="219"/>
      <c r="AO186" s="115"/>
      <c r="AP186" s="115"/>
      <c r="AQ186" s="130"/>
      <c r="AR186" s="130"/>
      <c r="AS186" s="115"/>
      <c r="AT186" s="115"/>
      <c r="AU186" s="219"/>
      <c r="AV186" s="115"/>
      <c r="AW186" s="115"/>
      <c r="AX186" s="115"/>
      <c r="AY186" s="115">
        <v>3</v>
      </c>
      <c r="AZ186" s="115"/>
      <c r="BA186" s="115"/>
      <c r="BB186" s="219"/>
      <c r="BC186" s="411"/>
      <c r="BD186" s="324"/>
    </row>
    <row r="187" spans="1:56" ht="15.75" thickTop="1">
      <c r="A187" s="413" t="s">
        <v>126</v>
      </c>
      <c r="B187" s="401" t="s">
        <v>127</v>
      </c>
      <c r="C187" s="417" t="s">
        <v>45</v>
      </c>
      <c r="D187" s="19">
        <f t="shared" si="11"/>
        <v>4</v>
      </c>
      <c r="E187" s="19">
        <v>0</v>
      </c>
      <c r="F187" s="19" t="s">
        <v>36</v>
      </c>
      <c r="G187" s="19">
        <v>6</v>
      </c>
      <c r="H187" s="17">
        <f t="shared" si="12"/>
        <v>0</v>
      </c>
      <c r="I187" s="286" t="s">
        <v>34</v>
      </c>
      <c r="J187" s="420" t="s">
        <v>35</v>
      </c>
      <c r="K187" s="118"/>
      <c r="L187" s="114"/>
      <c r="M187" s="220"/>
      <c r="N187" s="220"/>
      <c r="O187" s="114"/>
      <c r="P187" s="114"/>
      <c r="Q187" s="114"/>
      <c r="R187" s="121"/>
      <c r="S187" s="121"/>
      <c r="T187" s="114"/>
      <c r="U187" s="114"/>
      <c r="V187" s="114"/>
      <c r="W187" s="220"/>
      <c r="X187" s="220"/>
      <c r="Y187" s="114"/>
      <c r="Z187" s="114"/>
      <c r="AA187" s="128"/>
      <c r="AB187" s="128"/>
      <c r="AC187" s="114"/>
      <c r="AD187" s="114"/>
      <c r="AE187" s="220"/>
      <c r="AF187" s="220"/>
      <c r="AG187" s="114"/>
      <c r="AH187" s="114"/>
      <c r="AI187" s="128"/>
      <c r="AJ187" s="128"/>
      <c r="AK187" s="114"/>
      <c r="AL187" s="114"/>
      <c r="AM187" s="220"/>
      <c r="AN187" s="220"/>
      <c r="AO187" s="114"/>
      <c r="AP187" s="114"/>
      <c r="AQ187" s="128"/>
      <c r="AR187" s="128"/>
      <c r="AS187" s="114"/>
      <c r="AT187" s="114"/>
      <c r="AU187" s="220">
        <v>1.5</v>
      </c>
      <c r="AV187" s="114">
        <v>1.5</v>
      </c>
      <c r="AW187" s="114">
        <v>1.5</v>
      </c>
      <c r="AX187" s="114">
        <v>1.5</v>
      </c>
      <c r="AY187" s="114"/>
      <c r="AZ187" s="114"/>
      <c r="BA187" s="114"/>
      <c r="BB187" s="220"/>
      <c r="BC187" s="409"/>
      <c r="BD187" s="322"/>
    </row>
    <row r="188" spans="1:56">
      <c r="A188" s="414"/>
      <c r="B188" s="416"/>
      <c r="C188" s="418"/>
      <c r="D188" s="11">
        <f t="shared" si="11"/>
        <v>2</v>
      </c>
      <c r="E188" s="11">
        <v>0</v>
      </c>
      <c r="F188" s="11" t="s">
        <v>39</v>
      </c>
      <c r="G188" s="11">
        <v>7</v>
      </c>
      <c r="H188" s="5">
        <f t="shared" si="12"/>
        <v>0</v>
      </c>
      <c r="I188" s="287">
        <v>19</v>
      </c>
      <c r="J188" s="421"/>
      <c r="K188" s="119"/>
      <c r="L188" s="33"/>
      <c r="M188" s="218"/>
      <c r="N188" s="218"/>
      <c r="O188" s="33"/>
      <c r="P188" s="33"/>
      <c r="Q188" s="33"/>
      <c r="R188" s="122"/>
      <c r="S188" s="122"/>
      <c r="T188" s="33"/>
      <c r="U188" s="33"/>
      <c r="V188" s="33"/>
      <c r="W188" s="218"/>
      <c r="X188" s="218"/>
      <c r="Y188" s="33"/>
      <c r="Z188" s="33"/>
      <c r="AA188" s="129"/>
      <c r="AB188" s="129"/>
      <c r="AC188" s="33"/>
      <c r="AD188" s="33"/>
      <c r="AE188" s="218"/>
      <c r="AF188" s="218"/>
      <c r="AG188" s="33"/>
      <c r="AH188" s="33"/>
      <c r="AI188" s="129"/>
      <c r="AJ188" s="129"/>
      <c r="AK188" s="33"/>
      <c r="AL188" s="33"/>
      <c r="AM188" s="218"/>
      <c r="AN188" s="218"/>
      <c r="AO188" s="33"/>
      <c r="AP188" s="33"/>
      <c r="AQ188" s="129"/>
      <c r="AR188" s="129"/>
      <c r="AS188" s="33"/>
      <c r="AT188" s="33"/>
      <c r="AU188" s="218"/>
      <c r="AV188" s="33"/>
      <c r="AW188" s="33"/>
      <c r="AX188" s="33"/>
      <c r="AY188" s="33">
        <v>3</v>
      </c>
      <c r="AZ188" s="33">
        <v>4</v>
      </c>
      <c r="BA188" s="33"/>
      <c r="BB188" s="218"/>
      <c r="BC188" s="410"/>
      <c r="BD188" s="345"/>
    </row>
    <row r="189" spans="1:56" ht="15.75" thickBot="1">
      <c r="A189" s="415"/>
      <c r="B189" s="402"/>
      <c r="C189" s="419"/>
      <c r="D189" s="20">
        <f t="shared" si="11"/>
        <v>5</v>
      </c>
      <c r="E189" s="20">
        <v>0</v>
      </c>
      <c r="F189" s="20" t="s">
        <v>78</v>
      </c>
      <c r="G189" s="20">
        <v>7.5</v>
      </c>
      <c r="H189" s="18">
        <f t="shared" si="12"/>
        <v>0</v>
      </c>
      <c r="I189" s="288"/>
      <c r="J189" s="422"/>
      <c r="K189" s="120"/>
      <c r="L189" s="115"/>
      <c r="M189" s="219"/>
      <c r="N189" s="219"/>
      <c r="O189" s="115"/>
      <c r="P189" s="115"/>
      <c r="Q189" s="115"/>
      <c r="R189" s="123"/>
      <c r="S189" s="123"/>
      <c r="T189" s="115"/>
      <c r="U189" s="115"/>
      <c r="V189" s="115"/>
      <c r="W189" s="219"/>
      <c r="X189" s="219"/>
      <c r="Y189" s="115"/>
      <c r="Z189" s="115"/>
      <c r="AA189" s="130"/>
      <c r="AB189" s="130"/>
      <c r="AC189" s="115"/>
      <c r="AD189" s="115"/>
      <c r="AE189" s="219"/>
      <c r="AF189" s="219"/>
      <c r="AG189" s="115"/>
      <c r="AH189" s="115"/>
      <c r="AI189" s="130"/>
      <c r="AJ189" s="130"/>
      <c r="AK189" s="115"/>
      <c r="AL189" s="115"/>
      <c r="AM189" s="219"/>
      <c r="AN189" s="219"/>
      <c r="AO189" s="115"/>
      <c r="AP189" s="115"/>
      <c r="AQ189" s="130"/>
      <c r="AR189" s="130"/>
      <c r="AS189" s="115"/>
      <c r="AT189" s="115"/>
      <c r="AU189" s="219"/>
      <c r="AV189" s="115">
        <v>1.5</v>
      </c>
      <c r="AW189" s="115">
        <v>1.5</v>
      </c>
      <c r="AX189" s="115">
        <v>1.5</v>
      </c>
      <c r="AY189" s="115">
        <v>1.5</v>
      </c>
      <c r="AZ189" s="115">
        <v>1.5</v>
      </c>
      <c r="BA189" s="115"/>
      <c r="BB189" s="219"/>
      <c r="BC189" s="411"/>
      <c r="BD189" s="324"/>
    </row>
    <row r="190" spans="1:56" ht="15.75" thickTop="1">
      <c r="A190" s="413" t="s">
        <v>128</v>
      </c>
      <c r="B190" s="401" t="s">
        <v>129</v>
      </c>
      <c r="C190" s="417" t="s">
        <v>45</v>
      </c>
      <c r="D190" s="19">
        <f t="shared" si="11"/>
        <v>4</v>
      </c>
      <c r="E190" s="19">
        <v>0</v>
      </c>
      <c r="F190" s="19" t="s">
        <v>36</v>
      </c>
      <c r="G190" s="19">
        <v>6</v>
      </c>
      <c r="H190" s="17">
        <f t="shared" si="12"/>
        <v>0</v>
      </c>
      <c r="I190" s="286" t="s">
        <v>34</v>
      </c>
      <c r="J190" s="420" t="s">
        <v>35</v>
      </c>
      <c r="K190" s="118"/>
      <c r="L190" s="114"/>
      <c r="M190" s="220"/>
      <c r="N190" s="220"/>
      <c r="O190" s="114"/>
      <c r="P190" s="114"/>
      <c r="Q190" s="114"/>
      <c r="R190" s="121"/>
      <c r="S190" s="121"/>
      <c r="T190" s="114"/>
      <c r="U190" s="114"/>
      <c r="V190" s="114"/>
      <c r="W190" s="220"/>
      <c r="X190" s="220"/>
      <c r="Y190" s="114"/>
      <c r="Z190" s="114"/>
      <c r="AA190" s="128"/>
      <c r="AB190" s="128"/>
      <c r="AC190" s="114"/>
      <c r="AD190" s="114"/>
      <c r="AE190" s="220"/>
      <c r="AF190" s="220"/>
      <c r="AG190" s="114"/>
      <c r="AH190" s="114"/>
      <c r="AI190" s="128"/>
      <c r="AJ190" s="128"/>
      <c r="AK190" s="114"/>
      <c r="AL190" s="114"/>
      <c r="AM190" s="220"/>
      <c r="AN190" s="220"/>
      <c r="AO190" s="114"/>
      <c r="AP190" s="114"/>
      <c r="AQ190" s="128"/>
      <c r="AR190" s="128"/>
      <c r="AS190" s="114"/>
      <c r="AT190" s="114"/>
      <c r="AU190" s="220">
        <v>1.5</v>
      </c>
      <c r="AV190" s="114">
        <v>1.5</v>
      </c>
      <c r="AW190" s="114">
        <v>1.5</v>
      </c>
      <c r="AX190" s="114">
        <v>1.5</v>
      </c>
      <c r="AY190" s="114"/>
      <c r="AZ190" s="114"/>
      <c r="BA190" s="114"/>
      <c r="BB190" s="220"/>
      <c r="BC190" s="409"/>
      <c r="BD190" s="322"/>
    </row>
    <row r="191" spans="1:56">
      <c r="A191" s="414"/>
      <c r="B191" s="416"/>
      <c r="C191" s="418"/>
      <c r="D191" s="11">
        <f t="shared" si="11"/>
        <v>2</v>
      </c>
      <c r="E191" s="11">
        <v>0</v>
      </c>
      <c r="F191" s="11" t="s">
        <v>39</v>
      </c>
      <c r="G191" s="11">
        <v>7</v>
      </c>
      <c r="H191" s="5">
        <f t="shared" si="12"/>
        <v>0</v>
      </c>
      <c r="I191" s="287">
        <v>19</v>
      </c>
      <c r="J191" s="421"/>
      <c r="K191" s="119"/>
      <c r="L191" s="33"/>
      <c r="M191" s="218"/>
      <c r="N191" s="218"/>
      <c r="O191" s="33"/>
      <c r="P191" s="33"/>
      <c r="Q191" s="33"/>
      <c r="R191" s="122"/>
      <c r="S191" s="122"/>
      <c r="T191" s="33"/>
      <c r="U191" s="33"/>
      <c r="V191" s="33"/>
      <c r="W191" s="218"/>
      <c r="X191" s="218"/>
      <c r="Y191" s="33"/>
      <c r="Z191" s="33"/>
      <c r="AA191" s="129"/>
      <c r="AB191" s="129"/>
      <c r="AC191" s="33"/>
      <c r="AD191" s="33"/>
      <c r="AE191" s="218"/>
      <c r="AF191" s="218"/>
      <c r="AG191" s="33"/>
      <c r="AH191" s="33"/>
      <c r="AI191" s="129"/>
      <c r="AJ191" s="129"/>
      <c r="AK191" s="33"/>
      <c r="AL191" s="33"/>
      <c r="AM191" s="218"/>
      <c r="AN191" s="218"/>
      <c r="AO191" s="33"/>
      <c r="AP191" s="33"/>
      <c r="AQ191" s="129"/>
      <c r="AR191" s="129"/>
      <c r="AS191" s="33"/>
      <c r="AT191" s="33"/>
      <c r="AU191" s="218"/>
      <c r="AV191" s="33"/>
      <c r="AW191" s="33"/>
      <c r="AX191" s="33"/>
      <c r="AY191" s="33">
        <v>3</v>
      </c>
      <c r="AZ191" s="33">
        <v>4</v>
      </c>
      <c r="BA191" s="33"/>
      <c r="BB191" s="218"/>
      <c r="BC191" s="410"/>
      <c r="BD191" s="345"/>
    </row>
    <row r="192" spans="1:56" ht="15.75" thickBot="1">
      <c r="A192" s="415"/>
      <c r="B192" s="402"/>
      <c r="C192" s="419"/>
      <c r="D192" s="20">
        <f t="shared" si="11"/>
        <v>5</v>
      </c>
      <c r="E192" s="20">
        <v>0</v>
      </c>
      <c r="F192" s="20" t="s">
        <v>78</v>
      </c>
      <c r="G192" s="20">
        <v>7.5</v>
      </c>
      <c r="H192" s="18">
        <f t="shared" si="12"/>
        <v>0</v>
      </c>
      <c r="I192" s="288"/>
      <c r="J192" s="422"/>
      <c r="K192" s="120"/>
      <c r="L192" s="115"/>
      <c r="M192" s="219"/>
      <c r="N192" s="219"/>
      <c r="O192" s="115"/>
      <c r="P192" s="115"/>
      <c r="Q192" s="115"/>
      <c r="R192" s="123"/>
      <c r="S192" s="123"/>
      <c r="T192" s="115"/>
      <c r="U192" s="115"/>
      <c r="V192" s="115"/>
      <c r="W192" s="219"/>
      <c r="X192" s="219"/>
      <c r="Y192" s="115"/>
      <c r="Z192" s="115"/>
      <c r="AA192" s="130"/>
      <c r="AB192" s="130"/>
      <c r="AC192" s="115"/>
      <c r="AD192" s="115"/>
      <c r="AE192" s="219"/>
      <c r="AF192" s="219"/>
      <c r="AG192" s="115"/>
      <c r="AH192" s="115"/>
      <c r="AI192" s="130"/>
      <c r="AJ192" s="130"/>
      <c r="AK192" s="115"/>
      <c r="AL192" s="115"/>
      <c r="AM192" s="219"/>
      <c r="AN192" s="219"/>
      <c r="AO192" s="115"/>
      <c r="AP192" s="115"/>
      <c r="AQ192" s="130"/>
      <c r="AR192" s="130"/>
      <c r="AS192" s="115"/>
      <c r="AT192" s="115"/>
      <c r="AU192" s="219"/>
      <c r="AV192" s="115">
        <v>1.5</v>
      </c>
      <c r="AW192" s="115">
        <v>1.5</v>
      </c>
      <c r="AX192" s="115">
        <v>1.5</v>
      </c>
      <c r="AY192" s="115">
        <v>1.5</v>
      </c>
      <c r="AZ192" s="115">
        <v>1.5</v>
      </c>
      <c r="BA192" s="115"/>
      <c r="BB192" s="219"/>
      <c r="BC192" s="411"/>
      <c r="BD192" s="324"/>
    </row>
    <row r="193" spans="1:56" ht="15.75" thickTop="1">
      <c r="A193" s="413" t="s">
        <v>130</v>
      </c>
      <c r="B193" s="401" t="s">
        <v>131</v>
      </c>
      <c r="C193" s="417" t="s">
        <v>73</v>
      </c>
      <c r="D193" s="19">
        <f t="shared" si="11"/>
        <v>4</v>
      </c>
      <c r="E193" s="19">
        <v>0</v>
      </c>
      <c r="F193" s="19" t="s">
        <v>36</v>
      </c>
      <c r="G193" s="19">
        <v>6</v>
      </c>
      <c r="H193" s="17">
        <f t="shared" si="12"/>
        <v>0</v>
      </c>
      <c r="I193" s="286" t="s">
        <v>34</v>
      </c>
      <c r="J193" s="420" t="s">
        <v>35</v>
      </c>
      <c r="K193" s="118"/>
      <c r="L193" s="114"/>
      <c r="M193" s="220"/>
      <c r="N193" s="220"/>
      <c r="O193" s="114"/>
      <c r="P193" s="114"/>
      <c r="Q193" s="114"/>
      <c r="R193" s="121"/>
      <c r="S193" s="121"/>
      <c r="T193" s="114"/>
      <c r="U193" s="114"/>
      <c r="V193" s="114"/>
      <c r="W193" s="220"/>
      <c r="X193" s="220"/>
      <c r="Y193" s="114"/>
      <c r="Z193" s="114"/>
      <c r="AA193" s="128"/>
      <c r="AB193" s="128"/>
      <c r="AC193" s="114"/>
      <c r="AD193" s="114"/>
      <c r="AE193" s="220"/>
      <c r="AF193" s="220"/>
      <c r="AG193" s="114"/>
      <c r="AH193" s="114"/>
      <c r="AI193" s="128"/>
      <c r="AJ193" s="128"/>
      <c r="AK193" s="114"/>
      <c r="AL193" s="114"/>
      <c r="AM193" s="220"/>
      <c r="AN193" s="220"/>
      <c r="AO193" s="114"/>
      <c r="AP193" s="114"/>
      <c r="AQ193" s="128"/>
      <c r="AR193" s="128"/>
      <c r="AS193" s="114">
        <v>1.5</v>
      </c>
      <c r="AT193" s="114">
        <v>1.5</v>
      </c>
      <c r="AU193" s="220">
        <v>1.5</v>
      </c>
      <c r="AV193" s="114">
        <v>1.5</v>
      </c>
      <c r="AW193" s="114"/>
      <c r="AX193" s="114"/>
      <c r="AY193" s="114"/>
      <c r="AZ193" s="114"/>
      <c r="BA193" s="114"/>
      <c r="BB193" s="220"/>
      <c r="BC193" s="409"/>
      <c r="BD193" s="322"/>
    </row>
    <row r="194" spans="1:56">
      <c r="A194" s="414"/>
      <c r="B194" s="416"/>
      <c r="C194" s="418"/>
      <c r="D194" s="11">
        <f t="shared" si="11"/>
        <v>2</v>
      </c>
      <c r="E194" s="11">
        <v>0</v>
      </c>
      <c r="F194" s="11" t="s">
        <v>39</v>
      </c>
      <c r="G194" s="11">
        <v>7</v>
      </c>
      <c r="H194" s="5">
        <f t="shared" si="12"/>
        <v>0</v>
      </c>
      <c r="I194" s="287">
        <v>124</v>
      </c>
      <c r="J194" s="421"/>
      <c r="K194" s="119"/>
      <c r="L194" s="33"/>
      <c r="M194" s="218"/>
      <c r="N194" s="218"/>
      <c r="O194" s="33"/>
      <c r="P194" s="33"/>
      <c r="Q194" s="33"/>
      <c r="R194" s="122"/>
      <c r="S194" s="122"/>
      <c r="T194" s="33"/>
      <c r="U194" s="33"/>
      <c r="V194" s="33"/>
      <c r="W194" s="218"/>
      <c r="X194" s="218"/>
      <c r="Y194" s="33"/>
      <c r="Z194" s="33"/>
      <c r="AA194" s="129"/>
      <c r="AB194" s="129"/>
      <c r="AC194" s="33"/>
      <c r="AD194" s="33"/>
      <c r="AE194" s="218"/>
      <c r="AF194" s="218"/>
      <c r="AG194" s="33"/>
      <c r="AH194" s="33"/>
      <c r="AI194" s="129"/>
      <c r="AJ194" s="129"/>
      <c r="AK194" s="33"/>
      <c r="AL194" s="33"/>
      <c r="AM194" s="218"/>
      <c r="AN194" s="218"/>
      <c r="AO194" s="33"/>
      <c r="AP194" s="33"/>
      <c r="AQ194" s="129"/>
      <c r="AR194" s="129"/>
      <c r="AS194" s="33"/>
      <c r="AT194" s="33"/>
      <c r="AU194" s="218"/>
      <c r="AV194" s="33"/>
      <c r="AW194" s="33">
        <v>3</v>
      </c>
      <c r="AX194" s="33">
        <v>4</v>
      </c>
      <c r="AY194" s="33"/>
      <c r="AZ194" s="33"/>
      <c r="BA194" s="33"/>
      <c r="BB194" s="218"/>
      <c r="BC194" s="410"/>
      <c r="BD194" s="345"/>
    </row>
    <row r="195" spans="1:56" ht="15.75" thickBot="1">
      <c r="A195" s="415"/>
      <c r="B195" s="402"/>
      <c r="C195" s="419"/>
      <c r="D195" s="20">
        <f t="shared" si="11"/>
        <v>5</v>
      </c>
      <c r="E195" s="20">
        <v>0</v>
      </c>
      <c r="F195" s="20" t="s">
        <v>78</v>
      </c>
      <c r="G195" s="20">
        <v>7.5</v>
      </c>
      <c r="H195" s="18">
        <f t="shared" si="12"/>
        <v>0</v>
      </c>
      <c r="I195" s="288"/>
      <c r="J195" s="422"/>
      <c r="K195" s="120"/>
      <c r="L195" s="115"/>
      <c r="M195" s="219"/>
      <c r="N195" s="219"/>
      <c r="O195" s="115"/>
      <c r="P195" s="115"/>
      <c r="Q195" s="115"/>
      <c r="R195" s="123"/>
      <c r="S195" s="123"/>
      <c r="T195" s="115"/>
      <c r="U195" s="115"/>
      <c r="V195" s="115"/>
      <c r="W195" s="219"/>
      <c r="X195" s="219"/>
      <c r="Y195" s="115"/>
      <c r="Z195" s="115"/>
      <c r="AA195" s="130"/>
      <c r="AB195" s="130"/>
      <c r="AC195" s="115"/>
      <c r="AD195" s="115"/>
      <c r="AE195" s="219"/>
      <c r="AF195" s="219"/>
      <c r="AG195" s="115"/>
      <c r="AH195" s="115"/>
      <c r="AI195" s="130"/>
      <c r="AJ195" s="130"/>
      <c r="AK195" s="115"/>
      <c r="AL195" s="115"/>
      <c r="AM195" s="219"/>
      <c r="AN195" s="219"/>
      <c r="AO195" s="115"/>
      <c r="AP195" s="115"/>
      <c r="AQ195" s="130"/>
      <c r="AR195" s="130"/>
      <c r="AS195" s="115"/>
      <c r="AT195" s="115">
        <v>1.5</v>
      </c>
      <c r="AU195" s="219">
        <v>1.5</v>
      </c>
      <c r="AV195" s="115">
        <v>1.5</v>
      </c>
      <c r="AW195" s="115">
        <v>1.5</v>
      </c>
      <c r="AX195" s="115">
        <v>1.5</v>
      </c>
      <c r="AY195" s="115"/>
      <c r="AZ195" s="115"/>
      <c r="BA195" s="115"/>
      <c r="BB195" s="219"/>
      <c r="BC195" s="411"/>
      <c r="BD195" s="324"/>
    </row>
    <row r="196" spans="1:56" ht="15.75" thickTop="1">
      <c r="A196" s="413" t="s">
        <v>132</v>
      </c>
      <c r="B196" s="401" t="s">
        <v>85</v>
      </c>
      <c r="C196" s="417" t="s">
        <v>73</v>
      </c>
      <c r="D196" s="19">
        <f t="shared" si="11"/>
        <v>4</v>
      </c>
      <c r="E196" s="19">
        <v>0</v>
      </c>
      <c r="F196" s="19" t="s">
        <v>36</v>
      </c>
      <c r="G196" s="19">
        <v>6</v>
      </c>
      <c r="H196" s="17">
        <f t="shared" si="12"/>
        <v>0</v>
      </c>
      <c r="I196" s="286" t="s">
        <v>34</v>
      </c>
      <c r="J196" s="420" t="s">
        <v>35</v>
      </c>
      <c r="K196" s="118"/>
      <c r="L196" s="114"/>
      <c r="M196" s="220"/>
      <c r="N196" s="220"/>
      <c r="O196" s="114"/>
      <c r="P196" s="114"/>
      <c r="Q196" s="114"/>
      <c r="R196" s="121"/>
      <c r="S196" s="121"/>
      <c r="T196" s="114"/>
      <c r="U196" s="114"/>
      <c r="V196" s="114"/>
      <c r="W196" s="220"/>
      <c r="X196" s="220"/>
      <c r="Y196" s="114"/>
      <c r="Z196" s="114"/>
      <c r="AA196" s="128"/>
      <c r="AB196" s="128"/>
      <c r="AC196" s="114"/>
      <c r="AD196" s="114"/>
      <c r="AE196" s="220"/>
      <c r="AF196" s="220"/>
      <c r="AG196" s="114"/>
      <c r="AH196" s="114"/>
      <c r="AI196" s="128"/>
      <c r="AJ196" s="128"/>
      <c r="AK196" s="114"/>
      <c r="AL196" s="114"/>
      <c r="AM196" s="220"/>
      <c r="AN196" s="220"/>
      <c r="AO196" s="114"/>
      <c r="AP196" s="114"/>
      <c r="AQ196" s="128"/>
      <c r="AR196" s="128"/>
      <c r="AS196" s="114">
        <v>1.5</v>
      </c>
      <c r="AT196" s="114">
        <v>1.5</v>
      </c>
      <c r="AU196" s="220">
        <v>1.5</v>
      </c>
      <c r="AV196" s="114">
        <v>1.5</v>
      </c>
      <c r="AW196" s="114"/>
      <c r="AX196" s="114"/>
      <c r="AY196" s="114"/>
      <c r="AZ196" s="114"/>
      <c r="BA196" s="114"/>
      <c r="BB196" s="220"/>
      <c r="BC196" s="409"/>
      <c r="BD196" s="322"/>
    </row>
    <row r="197" spans="1:56">
      <c r="A197" s="414"/>
      <c r="B197" s="416"/>
      <c r="C197" s="418"/>
      <c r="D197" s="11">
        <f t="shared" si="11"/>
        <v>2</v>
      </c>
      <c r="E197" s="11">
        <v>0</v>
      </c>
      <c r="F197" s="11" t="s">
        <v>39</v>
      </c>
      <c r="G197" s="11">
        <v>7</v>
      </c>
      <c r="H197" s="5">
        <f t="shared" si="12"/>
        <v>0</v>
      </c>
      <c r="I197" s="287">
        <v>124</v>
      </c>
      <c r="J197" s="421"/>
      <c r="K197" s="119"/>
      <c r="L197" s="33"/>
      <c r="M197" s="218"/>
      <c r="N197" s="218"/>
      <c r="O197" s="33"/>
      <c r="P197" s="33"/>
      <c r="Q197" s="33"/>
      <c r="R197" s="122"/>
      <c r="S197" s="122"/>
      <c r="T197" s="33"/>
      <c r="U197" s="33"/>
      <c r="V197" s="33"/>
      <c r="W197" s="218"/>
      <c r="X197" s="218"/>
      <c r="Y197" s="33"/>
      <c r="Z197" s="33"/>
      <c r="AA197" s="129"/>
      <c r="AB197" s="129"/>
      <c r="AC197" s="33"/>
      <c r="AD197" s="33"/>
      <c r="AE197" s="218"/>
      <c r="AF197" s="218"/>
      <c r="AG197" s="33"/>
      <c r="AH197" s="33"/>
      <c r="AI197" s="129"/>
      <c r="AJ197" s="129"/>
      <c r="AK197" s="33"/>
      <c r="AL197" s="33"/>
      <c r="AM197" s="218"/>
      <c r="AN197" s="218"/>
      <c r="AO197" s="33"/>
      <c r="AP197" s="33"/>
      <c r="AQ197" s="129"/>
      <c r="AR197" s="129"/>
      <c r="AS197" s="33"/>
      <c r="AT197" s="33"/>
      <c r="AU197" s="218"/>
      <c r="AV197" s="33"/>
      <c r="AW197" s="33">
        <v>3</v>
      </c>
      <c r="AX197" s="33">
        <v>4</v>
      </c>
      <c r="AY197" s="33"/>
      <c r="AZ197" s="33"/>
      <c r="BA197" s="33"/>
      <c r="BB197" s="218"/>
      <c r="BC197" s="410"/>
      <c r="BD197" s="345"/>
    </row>
    <row r="198" spans="1:56" ht="15.75" thickBot="1">
      <c r="A198" s="415"/>
      <c r="B198" s="402"/>
      <c r="C198" s="419"/>
      <c r="D198" s="20">
        <f t="shared" si="11"/>
        <v>5</v>
      </c>
      <c r="E198" s="20">
        <v>0</v>
      </c>
      <c r="F198" s="20" t="s">
        <v>78</v>
      </c>
      <c r="G198" s="20">
        <v>7.5</v>
      </c>
      <c r="H198" s="18">
        <f t="shared" si="12"/>
        <v>0</v>
      </c>
      <c r="I198" s="288"/>
      <c r="J198" s="422"/>
      <c r="K198" s="120"/>
      <c r="L198" s="115"/>
      <c r="M198" s="219"/>
      <c r="N198" s="219"/>
      <c r="O198" s="115"/>
      <c r="P198" s="115"/>
      <c r="Q198" s="115"/>
      <c r="R198" s="123"/>
      <c r="S198" s="123"/>
      <c r="T198" s="115"/>
      <c r="U198" s="115"/>
      <c r="V198" s="115"/>
      <c r="W198" s="219"/>
      <c r="X198" s="219"/>
      <c r="Y198" s="115"/>
      <c r="Z198" s="115"/>
      <c r="AA198" s="130"/>
      <c r="AB198" s="130"/>
      <c r="AC198" s="115"/>
      <c r="AD198" s="115"/>
      <c r="AE198" s="219"/>
      <c r="AF198" s="219"/>
      <c r="AG198" s="115"/>
      <c r="AH198" s="115"/>
      <c r="AI198" s="130"/>
      <c r="AJ198" s="130"/>
      <c r="AK198" s="115"/>
      <c r="AL198" s="115"/>
      <c r="AM198" s="219"/>
      <c r="AN198" s="219"/>
      <c r="AO198" s="115"/>
      <c r="AP198" s="115"/>
      <c r="AQ198" s="130"/>
      <c r="AR198" s="130"/>
      <c r="AS198" s="115"/>
      <c r="AT198" s="115">
        <v>1.5</v>
      </c>
      <c r="AU198" s="219">
        <v>1.5</v>
      </c>
      <c r="AV198" s="115">
        <v>1.5</v>
      </c>
      <c r="AW198" s="115">
        <v>1.5</v>
      </c>
      <c r="AX198" s="115">
        <v>1.5</v>
      </c>
      <c r="AY198" s="115"/>
      <c r="AZ198" s="115"/>
      <c r="BA198" s="115"/>
      <c r="BB198" s="219"/>
      <c r="BC198" s="411"/>
      <c r="BD198" s="324"/>
    </row>
    <row r="199" spans="1:56" ht="15.75" thickTop="1">
      <c r="A199" s="413" t="s">
        <v>133</v>
      </c>
      <c r="B199" s="401" t="s">
        <v>88</v>
      </c>
      <c r="C199" s="417" t="s">
        <v>44</v>
      </c>
      <c r="D199" s="19">
        <f t="shared" si="11"/>
        <v>4</v>
      </c>
      <c r="E199" s="19">
        <v>0</v>
      </c>
      <c r="F199" s="19" t="s">
        <v>36</v>
      </c>
      <c r="G199" s="19">
        <v>6</v>
      </c>
      <c r="H199" s="17">
        <f t="shared" si="12"/>
        <v>0</v>
      </c>
      <c r="I199" s="286" t="s">
        <v>34</v>
      </c>
      <c r="J199" s="420" t="s">
        <v>35</v>
      </c>
      <c r="K199" s="118"/>
      <c r="L199" s="114"/>
      <c r="M199" s="220"/>
      <c r="N199" s="220"/>
      <c r="O199" s="114"/>
      <c r="P199" s="114"/>
      <c r="Q199" s="114"/>
      <c r="R199" s="121"/>
      <c r="S199" s="121"/>
      <c r="T199" s="114"/>
      <c r="U199" s="114"/>
      <c r="V199" s="114"/>
      <c r="W199" s="220"/>
      <c r="X199" s="220"/>
      <c r="Y199" s="114"/>
      <c r="Z199" s="114"/>
      <c r="AA199" s="128"/>
      <c r="AB199" s="128"/>
      <c r="AC199" s="114"/>
      <c r="AD199" s="114"/>
      <c r="AE199" s="220"/>
      <c r="AF199" s="220"/>
      <c r="AG199" s="114"/>
      <c r="AH199" s="114"/>
      <c r="AI199" s="128"/>
      <c r="AJ199" s="128"/>
      <c r="AK199" s="114"/>
      <c r="AL199" s="114"/>
      <c r="AM199" s="220"/>
      <c r="AN199" s="220"/>
      <c r="AO199" s="114"/>
      <c r="AP199" s="114"/>
      <c r="AQ199" s="128"/>
      <c r="AR199" s="128"/>
      <c r="AS199" s="114"/>
      <c r="AT199" s="114"/>
      <c r="AU199" s="220">
        <v>1.5</v>
      </c>
      <c r="AV199" s="114">
        <v>1.5</v>
      </c>
      <c r="AW199" s="114">
        <v>1.5</v>
      </c>
      <c r="AX199" s="114">
        <v>1.5</v>
      </c>
      <c r="AY199" s="114"/>
      <c r="AZ199" s="114"/>
      <c r="BA199" s="114"/>
      <c r="BB199" s="220"/>
      <c r="BC199" s="409"/>
      <c r="BD199" s="322"/>
    </row>
    <row r="200" spans="1:56">
      <c r="A200" s="414"/>
      <c r="B200" s="416"/>
      <c r="C200" s="418"/>
      <c r="D200" s="11">
        <f t="shared" si="11"/>
        <v>2</v>
      </c>
      <c r="E200" s="11">
        <v>0</v>
      </c>
      <c r="F200" s="11" t="s">
        <v>39</v>
      </c>
      <c r="G200" s="11">
        <v>7</v>
      </c>
      <c r="H200" s="5">
        <f t="shared" si="12"/>
        <v>0</v>
      </c>
      <c r="I200" s="287">
        <v>127</v>
      </c>
      <c r="J200" s="421"/>
      <c r="K200" s="119"/>
      <c r="L200" s="33"/>
      <c r="M200" s="218"/>
      <c r="N200" s="218"/>
      <c r="O200" s="33"/>
      <c r="P200" s="33"/>
      <c r="Q200" s="33"/>
      <c r="R200" s="122"/>
      <c r="S200" s="122"/>
      <c r="T200" s="33"/>
      <c r="U200" s="33"/>
      <c r="V200" s="33"/>
      <c r="W200" s="218"/>
      <c r="X200" s="218"/>
      <c r="Y200" s="33"/>
      <c r="Z200" s="33"/>
      <c r="AA200" s="129"/>
      <c r="AB200" s="129"/>
      <c r="AC200" s="33"/>
      <c r="AD200" s="33"/>
      <c r="AE200" s="218"/>
      <c r="AF200" s="218"/>
      <c r="AG200" s="33"/>
      <c r="AH200" s="33"/>
      <c r="AI200" s="129"/>
      <c r="AJ200" s="129"/>
      <c r="AK200" s="33"/>
      <c r="AL200" s="33"/>
      <c r="AM200" s="218"/>
      <c r="AN200" s="218"/>
      <c r="AO200" s="33"/>
      <c r="AP200" s="33"/>
      <c r="AQ200" s="129"/>
      <c r="AR200" s="129"/>
      <c r="AS200" s="33"/>
      <c r="AT200" s="33"/>
      <c r="AU200" s="218"/>
      <c r="AV200" s="33"/>
      <c r="AW200" s="33"/>
      <c r="AX200" s="33"/>
      <c r="AY200" s="33">
        <v>3</v>
      </c>
      <c r="AZ200" s="33">
        <v>4</v>
      </c>
      <c r="BA200" s="33"/>
      <c r="BB200" s="218"/>
      <c r="BC200" s="410"/>
      <c r="BD200" s="345"/>
    </row>
    <row r="201" spans="1:56" ht="15.75" thickBot="1">
      <c r="A201" s="415"/>
      <c r="B201" s="402"/>
      <c r="C201" s="419"/>
      <c r="D201" s="20">
        <f t="shared" si="11"/>
        <v>5</v>
      </c>
      <c r="E201" s="20">
        <v>0</v>
      </c>
      <c r="F201" s="20" t="s">
        <v>78</v>
      </c>
      <c r="G201" s="20">
        <v>7.5</v>
      </c>
      <c r="H201" s="18">
        <f t="shared" si="12"/>
        <v>0</v>
      </c>
      <c r="I201" s="288"/>
      <c r="J201" s="422"/>
      <c r="K201" s="120"/>
      <c r="L201" s="115"/>
      <c r="M201" s="219"/>
      <c r="N201" s="219"/>
      <c r="O201" s="115"/>
      <c r="P201" s="115"/>
      <c r="Q201" s="115"/>
      <c r="R201" s="123"/>
      <c r="S201" s="123"/>
      <c r="T201" s="115"/>
      <c r="U201" s="115"/>
      <c r="V201" s="115"/>
      <c r="W201" s="219"/>
      <c r="X201" s="219"/>
      <c r="Y201" s="115"/>
      <c r="Z201" s="115"/>
      <c r="AA201" s="130"/>
      <c r="AB201" s="130"/>
      <c r="AC201" s="115"/>
      <c r="AD201" s="115"/>
      <c r="AE201" s="219"/>
      <c r="AF201" s="219"/>
      <c r="AG201" s="115"/>
      <c r="AH201" s="115"/>
      <c r="AI201" s="130"/>
      <c r="AJ201" s="130"/>
      <c r="AK201" s="115"/>
      <c r="AL201" s="115"/>
      <c r="AM201" s="219"/>
      <c r="AN201" s="219"/>
      <c r="AO201" s="115"/>
      <c r="AP201" s="115"/>
      <c r="AQ201" s="130"/>
      <c r="AR201" s="130"/>
      <c r="AS201" s="115"/>
      <c r="AT201" s="115"/>
      <c r="AU201" s="219"/>
      <c r="AV201" s="115">
        <v>1.5</v>
      </c>
      <c r="AW201" s="115">
        <v>1.5</v>
      </c>
      <c r="AX201" s="115">
        <v>1.5</v>
      </c>
      <c r="AY201" s="115">
        <v>1.5</v>
      </c>
      <c r="AZ201" s="115">
        <v>1.5</v>
      </c>
      <c r="BA201" s="115"/>
      <c r="BB201" s="219"/>
      <c r="BC201" s="411"/>
      <c r="BD201" s="324"/>
    </row>
    <row r="202" spans="1:56" ht="15.75" thickTop="1">
      <c r="A202" s="399" t="s">
        <v>134</v>
      </c>
      <c r="B202" s="401" t="s">
        <v>92</v>
      </c>
      <c r="C202" s="19" t="s">
        <v>70</v>
      </c>
      <c r="D202" s="19">
        <f t="shared" si="11"/>
        <v>1</v>
      </c>
      <c r="E202" s="19">
        <v>3</v>
      </c>
      <c r="F202" s="19" t="s">
        <v>36</v>
      </c>
      <c r="G202" s="27">
        <v>1</v>
      </c>
      <c r="H202" s="23">
        <f t="shared" ref="H202:H205" si="13">G202-SUM(K202:BA202)</f>
        <v>0</v>
      </c>
      <c r="I202" s="19"/>
      <c r="J202" s="111" t="s">
        <v>35</v>
      </c>
      <c r="K202" s="107">
        <v>1</v>
      </c>
      <c r="L202" s="27"/>
      <c r="M202" s="203"/>
      <c r="N202" s="203"/>
      <c r="O202" s="27"/>
      <c r="P202" s="27"/>
      <c r="Q202" s="27"/>
      <c r="R202" s="92"/>
      <c r="S202" s="92"/>
      <c r="T202" s="27"/>
      <c r="U202" s="27"/>
      <c r="V202" s="27"/>
      <c r="W202" s="203"/>
      <c r="X202" s="203"/>
      <c r="Y202" s="27"/>
      <c r="Z202" s="27"/>
      <c r="AA202" s="92"/>
      <c r="AB202" s="92"/>
      <c r="AC202" s="27"/>
      <c r="AD202" s="27"/>
      <c r="AE202" s="203"/>
      <c r="AF202" s="203"/>
      <c r="AG202" s="27"/>
      <c r="AH202" s="27"/>
      <c r="AI202" s="92"/>
      <c r="AJ202" s="92"/>
      <c r="AK202" s="27"/>
      <c r="AL202" s="27"/>
      <c r="AM202" s="203"/>
      <c r="AN202" s="203"/>
      <c r="AO202" s="27"/>
      <c r="AP202" s="27"/>
      <c r="AQ202" s="92"/>
      <c r="AR202" s="92"/>
      <c r="AS202" s="27"/>
      <c r="AT202" s="27"/>
      <c r="AU202" s="203"/>
      <c r="AV202" s="27"/>
      <c r="AW202" s="27"/>
      <c r="AX202" s="27"/>
      <c r="AY202" s="27"/>
      <c r="AZ202" s="27"/>
      <c r="BA202" s="27"/>
      <c r="BB202" s="203"/>
      <c r="BC202" s="403"/>
      <c r="BD202" s="404"/>
    </row>
    <row r="203" spans="1:56" ht="15.75" thickBot="1">
      <c r="A203" s="400"/>
      <c r="B203" s="402"/>
      <c r="C203" s="20" t="s">
        <v>135</v>
      </c>
      <c r="D203" s="20">
        <f t="shared" si="11"/>
        <v>2</v>
      </c>
      <c r="E203" s="20">
        <v>3</v>
      </c>
      <c r="F203" s="20" t="s">
        <v>36</v>
      </c>
      <c r="G203" s="29">
        <v>10</v>
      </c>
      <c r="H203" s="26">
        <f t="shared" si="13"/>
        <v>4</v>
      </c>
      <c r="I203" s="20"/>
      <c r="J203" s="113" t="s">
        <v>37</v>
      </c>
      <c r="K203" s="108">
        <v>3</v>
      </c>
      <c r="L203" s="29">
        <v>3</v>
      </c>
      <c r="M203" s="205"/>
      <c r="N203" s="205"/>
      <c r="O203" s="29"/>
      <c r="P203" s="29"/>
      <c r="Q203" s="29"/>
      <c r="R203" s="94"/>
      <c r="S203" s="94"/>
      <c r="T203" s="29"/>
      <c r="U203" s="29"/>
      <c r="V203" s="29"/>
      <c r="W203" s="205"/>
      <c r="X203" s="205"/>
      <c r="Y203" s="29"/>
      <c r="Z203" s="29"/>
      <c r="AA203" s="94"/>
      <c r="AB203" s="94"/>
      <c r="AC203" s="29"/>
      <c r="AD203" s="29"/>
      <c r="AE203" s="205"/>
      <c r="AF203" s="205"/>
      <c r="AG203" s="29"/>
      <c r="AH203" s="29"/>
      <c r="AI203" s="94"/>
      <c r="AJ203" s="94"/>
      <c r="AK203" s="29"/>
      <c r="AL203" s="29"/>
      <c r="AM203" s="205"/>
      <c r="AN203" s="205"/>
      <c r="AO203" s="29"/>
      <c r="AP203" s="29"/>
      <c r="AQ203" s="94"/>
      <c r="AR203" s="94"/>
      <c r="AS203" s="29"/>
      <c r="AT203" s="29"/>
      <c r="AU203" s="205"/>
      <c r="AV203" s="29"/>
      <c r="AW203" s="29"/>
      <c r="AX203" s="29"/>
      <c r="AY203" s="29"/>
      <c r="AZ203" s="29"/>
      <c r="BA203" s="29"/>
      <c r="BB203" s="205"/>
      <c r="BC203" s="405"/>
      <c r="BD203" s="406"/>
    </row>
    <row r="204" spans="1:56" ht="15.75" thickTop="1">
      <c r="A204" s="399"/>
      <c r="B204" s="401" t="s">
        <v>93</v>
      </c>
      <c r="C204" s="19"/>
      <c r="D204" s="19">
        <f t="shared" si="11"/>
        <v>0</v>
      </c>
      <c r="E204" s="19"/>
      <c r="F204" s="19" t="s">
        <v>36</v>
      </c>
      <c r="G204" s="27">
        <v>23</v>
      </c>
      <c r="H204" s="23">
        <f t="shared" si="13"/>
        <v>23</v>
      </c>
      <c r="I204" s="19"/>
      <c r="J204" s="111" t="s">
        <v>35</v>
      </c>
      <c r="K204" s="107"/>
      <c r="L204" s="27"/>
      <c r="M204" s="203"/>
      <c r="N204" s="203"/>
      <c r="O204" s="27"/>
      <c r="P204" s="27"/>
      <c r="Q204" s="27"/>
      <c r="R204" s="92"/>
      <c r="S204" s="92"/>
      <c r="T204" s="27"/>
      <c r="U204" s="27"/>
      <c r="V204" s="27"/>
      <c r="W204" s="203"/>
      <c r="X204" s="203"/>
      <c r="Y204" s="27"/>
      <c r="Z204" s="27"/>
      <c r="AA204" s="92"/>
      <c r="AB204" s="92"/>
      <c r="AC204" s="27"/>
      <c r="AD204" s="27"/>
      <c r="AE204" s="203"/>
      <c r="AF204" s="203"/>
      <c r="AG204" s="27"/>
      <c r="AH204" s="27"/>
      <c r="AI204" s="92"/>
      <c r="AJ204" s="92"/>
      <c r="AK204" s="27"/>
      <c r="AL204" s="27"/>
      <c r="AM204" s="203"/>
      <c r="AN204" s="203"/>
      <c r="AO204" s="27"/>
      <c r="AP204" s="27"/>
      <c r="AQ204" s="92"/>
      <c r="AR204" s="92"/>
      <c r="AS204" s="27"/>
      <c r="AT204" s="27"/>
      <c r="AU204" s="203"/>
      <c r="AV204" s="27"/>
      <c r="AW204" s="27"/>
      <c r="AX204" s="27"/>
      <c r="AY204" s="27"/>
      <c r="AZ204" s="27"/>
      <c r="BA204" s="27"/>
      <c r="BB204" s="203"/>
      <c r="BC204" s="403"/>
      <c r="BD204" s="404"/>
    </row>
    <row r="205" spans="1:56" ht="15.75" thickBot="1">
      <c r="A205" s="400"/>
      <c r="B205" s="402"/>
      <c r="C205" s="20"/>
      <c r="D205" s="20">
        <f t="shared" si="11"/>
        <v>0</v>
      </c>
      <c r="E205" s="20"/>
      <c r="F205" s="20" t="s">
        <v>36</v>
      </c>
      <c r="G205" s="29">
        <v>23</v>
      </c>
      <c r="H205" s="26">
        <f t="shared" si="13"/>
        <v>23</v>
      </c>
      <c r="I205" s="20"/>
      <c r="J205" s="113" t="s">
        <v>37</v>
      </c>
      <c r="K205" s="108"/>
      <c r="L205" s="29"/>
      <c r="M205" s="205"/>
      <c r="N205" s="205"/>
      <c r="O205" s="29"/>
      <c r="P205" s="29"/>
      <c r="Q205" s="29"/>
      <c r="R205" s="94"/>
      <c r="S205" s="94"/>
      <c r="T205" s="29"/>
      <c r="U205" s="29"/>
      <c r="V205" s="29"/>
      <c r="W205" s="205"/>
      <c r="X205" s="205"/>
      <c r="Y205" s="29"/>
      <c r="Z205" s="29"/>
      <c r="AA205" s="94"/>
      <c r="AB205" s="94"/>
      <c r="AC205" s="29"/>
      <c r="AD205" s="29"/>
      <c r="AE205" s="205"/>
      <c r="AF205" s="205"/>
      <c r="AG205" s="29"/>
      <c r="AH205" s="29"/>
      <c r="AI205" s="94"/>
      <c r="AJ205" s="94"/>
      <c r="AK205" s="29"/>
      <c r="AL205" s="29"/>
      <c r="AM205" s="205"/>
      <c r="AN205" s="205"/>
      <c r="AO205" s="29"/>
      <c r="AP205" s="29"/>
      <c r="AQ205" s="94"/>
      <c r="AR205" s="94"/>
      <c r="AS205" s="29"/>
      <c r="AT205" s="29"/>
      <c r="AU205" s="205"/>
      <c r="AV205" s="29"/>
      <c r="AW205" s="29"/>
      <c r="AX205" s="29"/>
      <c r="AY205" s="29"/>
      <c r="AZ205" s="29"/>
      <c r="BA205" s="29"/>
      <c r="BB205" s="205"/>
      <c r="BC205" s="405"/>
      <c r="BD205" s="406"/>
    </row>
    <row r="206" spans="1:56" ht="15.75" thickTop="1"/>
  </sheetData>
  <mergeCells count="238">
    <mergeCell ref="BC83:BD84"/>
    <mergeCell ref="BC82:BD82"/>
    <mergeCell ref="A1:A5"/>
    <mergeCell ref="B1:B5"/>
    <mergeCell ref="C1:C5"/>
    <mergeCell ref="D1:D5"/>
    <mergeCell ref="E1:E5"/>
    <mergeCell ref="BC106:BD107"/>
    <mergeCell ref="BC64:BD69"/>
    <mergeCell ref="BC70:BD77"/>
    <mergeCell ref="BC78:BD81"/>
    <mergeCell ref="BC85:BD87"/>
    <mergeCell ref="BC88:BD90"/>
    <mergeCell ref="BC3:BD5"/>
    <mergeCell ref="BC6:BD9"/>
    <mergeCell ref="BC10:BD13"/>
    <mergeCell ref="BC20:BD25"/>
    <mergeCell ref="BC26:BD31"/>
    <mergeCell ref="C47:C49"/>
    <mergeCell ref="C50:C51"/>
    <mergeCell ref="B70:B77"/>
    <mergeCell ref="A42:A51"/>
    <mergeCell ref="B58:B63"/>
    <mergeCell ref="A6:A13"/>
    <mergeCell ref="B6:B13"/>
    <mergeCell ref="C6:C9"/>
    <mergeCell ref="C10:C13"/>
    <mergeCell ref="A32:A41"/>
    <mergeCell ref="B32:B41"/>
    <mergeCell ref="B42:B51"/>
    <mergeCell ref="C32:C37"/>
    <mergeCell ref="C42:C46"/>
    <mergeCell ref="A106:A107"/>
    <mergeCell ref="A91:A93"/>
    <mergeCell ref="B91:B93"/>
    <mergeCell ref="C91:C93"/>
    <mergeCell ref="C94:C96"/>
    <mergeCell ref="A94:A98"/>
    <mergeCell ref="B106:B107"/>
    <mergeCell ref="B99:B105"/>
    <mergeCell ref="B94:B98"/>
    <mergeCell ref="C97:C98"/>
    <mergeCell ref="C99:C102"/>
    <mergeCell ref="C85:C87"/>
    <mergeCell ref="C88:C90"/>
    <mergeCell ref="C78:C81"/>
    <mergeCell ref="C103:C105"/>
    <mergeCell ref="A99:A105"/>
    <mergeCell ref="C52:C57"/>
    <mergeCell ref="B52:B57"/>
    <mergeCell ref="A85:A87"/>
    <mergeCell ref="B85:B87"/>
    <mergeCell ref="A88:A90"/>
    <mergeCell ref="B88:B90"/>
    <mergeCell ref="A78:A81"/>
    <mergeCell ref="B78:B81"/>
    <mergeCell ref="A52:A57"/>
    <mergeCell ref="A58:A63"/>
    <mergeCell ref="C70:C72"/>
    <mergeCell ref="C74:C76"/>
    <mergeCell ref="C58:C63"/>
    <mergeCell ref="B64:B69"/>
    <mergeCell ref="C64:C69"/>
    <mergeCell ref="A70:A77"/>
    <mergeCell ref="A64:A69"/>
    <mergeCell ref="A82:A84"/>
    <mergeCell ref="B82:B84"/>
    <mergeCell ref="C83:C84"/>
    <mergeCell ref="BC14:BD19"/>
    <mergeCell ref="BC52:BD57"/>
    <mergeCell ref="BC58:BD63"/>
    <mergeCell ref="BC32:BD37"/>
    <mergeCell ref="BC38:BD41"/>
    <mergeCell ref="A14:A19"/>
    <mergeCell ref="C20:C25"/>
    <mergeCell ref="C26:C31"/>
    <mergeCell ref="A20:A31"/>
    <mergeCell ref="B14:B19"/>
    <mergeCell ref="C14:C17"/>
    <mergeCell ref="C18:C19"/>
    <mergeCell ref="B20:B31"/>
    <mergeCell ref="C38:C41"/>
    <mergeCell ref="BC42:BD51"/>
    <mergeCell ref="J16:J17"/>
    <mergeCell ref="J20:J22"/>
    <mergeCell ref="J23:J25"/>
    <mergeCell ref="J26:J28"/>
    <mergeCell ref="J29:J31"/>
    <mergeCell ref="J32:J34"/>
    <mergeCell ref="J35:J37"/>
    <mergeCell ref="J38:J39"/>
    <mergeCell ref="J40:J41"/>
    <mergeCell ref="F2:J2"/>
    <mergeCell ref="F3:J3"/>
    <mergeCell ref="I4:I5"/>
    <mergeCell ref="J4:J5"/>
    <mergeCell ref="J6:J7"/>
    <mergeCell ref="J8:J9"/>
    <mergeCell ref="J10:J11"/>
    <mergeCell ref="J12:J13"/>
    <mergeCell ref="J14:J15"/>
    <mergeCell ref="F4:F5"/>
    <mergeCell ref="A108:A109"/>
    <mergeCell ref="B108:B109"/>
    <mergeCell ref="BC108:BD109"/>
    <mergeCell ref="J74:J77"/>
    <mergeCell ref="J42:J46"/>
    <mergeCell ref="J47:J51"/>
    <mergeCell ref="J52:J54"/>
    <mergeCell ref="J55:J57"/>
    <mergeCell ref="J58:J60"/>
    <mergeCell ref="J61:J63"/>
    <mergeCell ref="J64:J66"/>
    <mergeCell ref="J67:J69"/>
    <mergeCell ref="J70:J73"/>
    <mergeCell ref="BC91:BD93"/>
    <mergeCell ref="BC94:BD98"/>
    <mergeCell ref="BC99:BD105"/>
    <mergeCell ref="J78:J79"/>
    <mergeCell ref="J80:J81"/>
    <mergeCell ref="J85:J87"/>
    <mergeCell ref="J88:J90"/>
    <mergeCell ref="J91:J93"/>
    <mergeCell ref="J94:J96"/>
    <mergeCell ref="J97:J98"/>
    <mergeCell ref="J103:J105"/>
    <mergeCell ref="A199:A201"/>
    <mergeCell ref="A143:A146"/>
    <mergeCell ref="B143:B146"/>
    <mergeCell ref="C143:C144"/>
    <mergeCell ref="J143:J144"/>
    <mergeCell ref="BC143:BD146"/>
    <mergeCell ref="C145:C146"/>
    <mergeCell ref="J145:J146"/>
    <mergeCell ref="A147:A158"/>
    <mergeCell ref="B147:B158"/>
    <mergeCell ref="C147:C149"/>
    <mergeCell ref="J147:J152"/>
    <mergeCell ref="BC147:BD158"/>
    <mergeCell ref="A183:A186"/>
    <mergeCell ref="B183:B186"/>
    <mergeCell ref="C183:C186"/>
    <mergeCell ref="A165:A170"/>
    <mergeCell ref="B165:B170"/>
    <mergeCell ref="C165:C170"/>
    <mergeCell ref="J165:J167"/>
    <mergeCell ref="BC165:BD170"/>
    <mergeCell ref="J168:J170"/>
    <mergeCell ref="A193:A195"/>
    <mergeCell ref="B193:B195"/>
    <mergeCell ref="BC196:BD198"/>
    <mergeCell ref="A121:A130"/>
    <mergeCell ref="B121:B130"/>
    <mergeCell ref="C121:C126"/>
    <mergeCell ref="J121:J123"/>
    <mergeCell ref="BC121:BD130"/>
    <mergeCell ref="J124:J126"/>
    <mergeCell ref="C127:C130"/>
    <mergeCell ref="J127:J128"/>
    <mergeCell ref="J129:J130"/>
    <mergeCell ref="J131:J133"/>
    <mergeCell ref="BC131:BD136"/>
    <mergeCell ref="J134:J136"/>
    <mergeCell ref="A137:A142"/>
    <mergeCell ref="B137:B142"/>
    <mergeCell ref="C137:C142"/>
    <mergeCell ref="J137:J139"/>
    <mergeCell ref="BC111:BD116"/>
    <mergeCell ref="C114:C115"/>
    <mergeCell ref="J114:J116"/>
    <mergeCell ref="A117:A120"/>
    <mergeCell ref="B117:B120"/>
    <mergeCell ref="J117:J118"/>
    <mergeCell ref="BC117:BD120"/>
    <mergeCell ref="J119:J120"/>
    <mergeCell ref="C193:C195"/>
    <mergeCell ref="J193:J195"/>
    <mergeCell ref="BC193:BD195"/>
    <mergeCell ref="J140:J142"/>
    <mergeCell ref="A131:A136"/>
    <mergeCell ref="B131:B136"/>
    <mergeCell ref="C131:C136"/>
    <mergeCell ref="C150:C152"/>
    <mergeCell ref="C153:C155"/>
    <mergeCell ref="J153:J158"/>
    <mergeCell ref="C156:C158"/>
    <mergeCell ref="A111:A116"/>
    <mergeCell ref="B111:B116"/>
    <mergeCell ref="C111:C112"/>
    <mergeCell ref="J111:J113"/>
    <mergeCell ref="A204:A205"/>
    <mergeCell ref="B204:B205"/>
    <mergeCell ref="BC204:BD205"/>
    <mergeCell ref="B199:B201"/>
    <mergeCell ref="C199:C201"/>
    <mergeCell ref="J199:J201"/>
    <mergeCell ref="BC199:BD201"/>
    <mergeCell ref="A159:A164"/>
    <mergeCell ref="B159:B164"/>
    <mergeCell ref="C159:C164"/>
    <mergeCell ref="J159:J161"/>
    <mergeCell ref="BC159:BD164"/>
    <mergeCell ref="J162:J164"/>
    <mergeCell ref="A171:A178"/>
    <mergeCell ref="B171:B178"/>
    <mergeCell ref="C171:C173"/>
    <mergeCell ref="J171:J174"/>
    <mergeCell ref="BC171:BD178"/>
    <mergeCell ref="C175:C177"/>
    <mergeCell ref="J175:J178"/>
    <mergeCell ref="A196:A198"/>
    <mergeCell ref="B196:B198"/>
    <mergeCell ref="C196:C198"/>
    <mergeCell ref="J196:J198"/>
    <mergeCell ref="A110:BD110"/>
    <mergeCell ref="A202:A203"/>
    <mergeCell ref="B202:B203"/>
    <mergeCell ref="BC202:BD203"/>
    <mergeCell ref="J183:J184"/>
    <mergeCell ref="BC183:BD186"/>
    <mergeCell ref="J185:J186"/>
    <mergeCell ref="A187:A189"/>
    <mergeCell ref="B187:B189"/>
    <mergeCell ref="C187:C189"/>
    <mergeCell ref="J187:J189"/>
    <mergeCell ref="BC187:BD189"/>
    <mergeCell ref="A190:A192"/>
    <mergeCell ref="B190:B192"/>
    <mergeCell ref="C190:C192"/>
    <mergeCell ref="J190:J192"/>
    <mergeCell ref="BC190:BD192"/>
    <mergeCell ref="A179:A182"/>
    <mergeCell ref="B179:B182"/>
    <mergeCell ref="C179:C182"/>
    <mergeCell ref="J179:J180"/>
    <mergeCell ref="BC179:BD182"/>
    <mergeCell ref="J181:J182"/>
    <mergeCell ref="BC137:BD142"/>
  </mergeCells>
  <conditionalFormatting sqref="K5:L5 O5:Q5 T5:V5 Y5:Z5 AC5:AD5 AG5:AH5 AK5:AL5 AO5:AP5 AS5:AT5 AV5:BA5">
    <cfRule type="colorScale" priority="1">
      <colorScale>
        <cfvo type="min"/>
        <cfvo type="num" val="35"/>
        <cfvo type="max"/>
        <color rgb="FFEE0000"/>
        <color rgb="FF00B050"/>
        <color rgb="FFEE0000"/>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94EBC-1347-40EA-B1EC-9BD4BF4DA069}">
  <dimension ref="A1:BD194"/>
  <sheetViews>
    <sheetView tabSelected="1" zoomScale="85" zoomScaleNormal="85" workbookViewId="0">
      <pane xSplit="10" ySplit="5" topLeftCell="Z36" activePane="bottomRight" state="frozen"/>
      <selection pane="topRight" activeCell="K1" sqref="K1"/>
      <selection pane="bottomLeft" activeCell="A6" sqref="A6"/>
      <selection pane="bottomRight" activeCell="C24" sqref="C24:C26"/>
    </sheetView>
  </sheetViews>
  <sheetFormatPr baseColWidth="10" defaultColWidth="11.42578125" defaultRowHeight="15"/>
  <cols>
    <col min="1" max="2" width="17.42578125" style="133" customWidth="1"/>
    <col min="3" max="3" width="17.85546875" style="133" customWidth="1"/>
    <col min="4" max="4" width="7.85546875" style="133" customWidth="1"/>
    <col min="5" max="5" width="3.42578125" style="133" customWidth="1"/>
    <col min="6" max="6" width="11.42578125" style="134" customWidth="1"/>
    <col min="7" max="8" width="6.5703125" style="133" customWidth="1"/>
    <col min="9" max="9" width="7.85546875" style="133" customWidth="1"/>
    <col min="10" max="10" width="11.42578125" style="133" customWidth="1"/>
    <col min="11" max="53" width="5.5703125" style="133" customWidth="1"/>
    <col min="54" max="54" width="5.5703125" customWidth="1"/>
    <col min="55" max="55" width="11.42578125" style="3"/>
    <col min="56" max="56" width="30.42578125" style="3" customWidth="1"/>
  </cols>
  <sheetData>
    <row r="1" spans="1:56" ht="119.25" customHeight="1">
      <c r="A1" s="388" t="s">
        <v>136</v>
      </c>
      <c r="B1" s="390" t="s">
        <v>1</v>
      </c>
      <c r="C1" s="390" t="s">
        <v>2</v>
      </c>
      <c r="D1" s="392" t="s">
        <v>137</v>
      </c>
      <c r="E1" s="394" t="s">
        <v>138</v>
      </c>
      <c r="F1" s="41"/>
      <c r="G1" s="61" t="s">
        <v>5</v>
      </c>
      <c r="H1" s="61" t="s">
        <v>6</v>
      </c>
      <c r="I1" s="61"/>
      <c r="J1" s="60"/>
      <c r="K1" s="226" t="s">
        <v>7</v>
      </c>
      <c r="L1" s="78"/>
      <c r="M1" s="78"/>
      <c r="N1" s="78"/>
      <c r="O1" s="78"/>
      <c r="P1" s="78"/>
      <c r="Q1" s="78"/>
      <c r="R1" s="227" t="s">
        <v>8</v>
      </c>
      <c r="S1" s="227" t="s">
        <v>9</v>
      </c>
      <c r="T1" s="228"/>
      <c r="U1" s="79"/>
      <c r="V1" s="79"/>
      <c r="W1" s="79"/>
      <c r="X1" s="79"/>
      <c r="Y1" s="75"/>
      <c r="Z1" s="79"/>
      <c r="AA1" s="124" t="s">
        <v>10</v>
      </c>
      <c r="AB1" s="100" t="s">
        <v>11</v>
      </c>
      <c r="AC1" s="79"/>
      <c r="AD1" s="99"/>
      <c r="AE1" s="78"/>
      <c r="AF1" s="79"/>
      <c r="AG1" s="79"/>
      <c r="AH1" s="79"/>
      <c r="AI1" s="131" t="s">
        <v>14</v>
      </c>
      <c r="AJ1" s="131" t="s">
        <v>15</v>
      </c>
      <c r="AK1" s="78"/>
      <c r="AL1" s="79"/>
      <c r="AM1" s="79"/>
      <c r="AN1" s="79"/>
      <c r="AO1" s="79"/>
      <c r="AP1" s="79"/>
      <c r="AQ1" s="131" t="s">
        <v>16</v>
      </c>
      <c r="AR1" s="131" t="s">
        <v>17</v>
      </c>
      <c r="AS1" s="102" t="s">
        <v>18</v>
      </c>
      <c r="AT1" s="102" t="s">
        <v>19</v>
      </c>
      <c r="AU1" s="229" t="s">
        <v>20</v>
      </c>
      <c r="AV1" s="79"/>
      <c r="AW1" s="78" t="s">
        <v>21</v>
      </c>
      <c r="AX1" s="230"/>
      <c r="AY1" s="230"/>
      <c r="AZ1" s="78" t="s">
        <v>22</v>
      </c>
      <c r="BA1" s="78"/>
      <c r="BB1" s="78" t="s">
        <v>23</v>
      </c>
      <c r="BC1" s="384" t="s">
        <v>26</v>
      </c>
      <c r="BD1" s="385"/>
    </row>
    <row r="2" spans="1:56" ht="21.95" customHeight="1">
      <c r="A2" s="389"/>
      <c r="B2" s="391"/>
      <c r="C2" s="391"/>
      <c r="D2" s="393"/>
      <c r="E2" s="395"/>
      <c r="F2" s="379" t="s">
        <v>24</v>
      </c>
      <c r="G2" s="380"/>
      <c r="H2" s="380"/>
      <c r="I2" s="380"/>
      <c r="J2" s="381"/>
      <c r="K2" s="80">
        <v>1</v>
      </c>
      <c r="L2" s="81">
        <v>2</v>
      </c>
      <c r="M2" s="81">
        <v>3</v>
      </c>
      <c r="N2" s="80">
        <v>4</v>
      </c>
      <c r="O2" s="81">
        <v>5</v>
      </c>
      <c r="P2" s="81">
        <v>6</v>
      </c>
      <c r="Q2" s="80">
        <v>7</v>
      </c>
      <c r="R2" s="82"/>
      <c r="S2" s="82"/>
      <c r="T2" s="83">
        <v>8</v>
      </c>
      <c r="U2" s="84">
        <v>9</v>
      </c>
      <c r="V2" s="83">
        <v>10</v>
      </c>
      <c r="W2" s="84">
        <v>11</v>
      </c>
      <c r="X2" s="83">
        <v>12</v>
      </c>
      <c r="Y2" s="84">
        <v>13</v>
      </c>
      <c r="Z2" s="83">
        <v>14</v>
      </c>
      <c r="AA2" s="125"/>
      <c r="AB2" s="86"/>
      <c r="AC2" s="84">
        <v>15</v>
      </c>
      <c r="AD2" s="80">
        <v>16</v>
      </c>
      <c r="AE2" s="84">
        <v>17</v>
      </c>
      <c r="AF2" s="80">
        <v>18</v>
      </c>
      <c r="AG2" s="84">
        <v>19</v>
      </c>
      <c r="AH2" s="80">
        <v>20</v>
      </c>
      <c r="AI2" s="86"/>
      <c r="AJ2" s="86"/>
      <c r="AK2" s="84">
        <v>21</v>
      </c>
      <c r="AL2" s="84">
        <v>22</v>
      </c>
      <c r="AM2" s="84">
        <v>23</v>
      </c>
      <c r="AN2" s="84">
        <v>24</v>
      </c>
      <c r="AO2" s="84">
        <v>25</v>
      </c>
      <c r="AP2" s="84">
        <v>26</v>
      </c>
      <c r="AQ2" s="86"/>
      <c r="AR2" s="86"/>
      <c r="AS2" s="81">
        <v>27</v>
      </c>
      <c r="AT2" s="81">
        <v>28</v>
      </c>
      <c r="AU2" s="81">
        <v>29</v>
      </c>
      <c r="AV2" s="81">
        <v>30</v>
      </c>
      <c r="AW2" s="81">
        <v>31</v>
      </c>
      <c r="AX2" s="81">
        <v>32</v>
      </c>
      <c r="AY2" s="81">
        <v>33</v>
      </c>
      <c r="AZ2" s="81">
        <v>34</v>
      </c>
      <c r="BA2" s="81">
        <v>35</v>
      </c>
      <c r="BB2" s="84"/>
      <c r="BC2" s="386"/>
      <c r="BD2" s="387"/>
    </row>
    <row r="3" spans="1:56" ht="14.45" customHeight="1">
      <c r="A3" s="389"/>
      <c r="B3" s="391"/>
      <c r="C3" s="391"/>
      <c r="D3" s="393"/>
      <c r="E3" s="395"/>
      <c r="F3" s="379" t="s">
        <v>25</v>
      </c>
      <c r="G3" s="380"/>
      <c r="H3" s="380"/>
      <c r="I3" s="380"/>
      <c r="J3" s="381"/>
      <c r="K3" s="175">
        <v>36</v>
      </c>
      <c r="L3" s="9">
        <v>37</v>
      </c>
      <c r="M3" s="9">
        <v>38</v>
      </c>
      <c r="N3" s="175">
        <v>39</v>
      </c>
      <c r="O3" s="175">
        <v>40</v>
      </c>
      <c r="P3" s="9">
        <v>41</v>
      </c>
      <c r="Q3" s="9">
        <v>42</v>
      </c>
      <c r="R3" s="68">
        <v>43</v>
      </c>
      <c r="S3" s="68">
        <v>44</v>
      </c>
      <c r="T3" s="9">
        <v>45</v>
      </c>
      <c r="U3" s="9">
        <v>46</v>
      </c>
      <c r="V3" s="175">
        <v>47</v>
      </c>
      <c r="W3" s="175">
        <v>48</v>
      </c>
      <c r="X3" s="9">
        <v>49</v>
      </c>
      <c r="Y3" s="9">
        <v>50</v>
      </c>
      <c r="Z3" s="9">
        <v>51</v>
      </c>
      <c r="AA3" s="126">
        <v>52</v>
      </c>
      <c r="AB3" s="126">
        <v>1</v>
      </c>
      <c r="AC3" s="9">
        <v>2</v>
      </c>
      <c r="AD3" s="9">
        <v>3</v>
      </c>
      <c r="AE3" s="213">
        <v>4</v>
      </c>
      <c r="AF3" s="213">
        <v>5</v>
      </c>
      <c r="AG3" s="21">
        <v>6</v>
      </c>
      <c r="AH3" s="21">
        <v>7</v>
      </c>
      <c r="AI3" s="132">
        <v>8</v>
      </c>
      <c r="AJ3" s="132">
        <v>9</v>
      </c>
      <c r="AK3" s="21">
        <v>10</v>
      </c>
      <c r="AL3" s="21">
        <v>11</v>
      </c>
      <c r="AM3" s="213">
        <v>12</v>
      </c>
      <c r="AN3" s="213">
        <v>13</v>
      </c>
      <c r="AO3" s="21">
        <v>14</v>
      </c>
      <c r="AP3" s="21">
        <v>15</v>
      </c>
      <c r="AQ3" s="132">
        <v>16</v>
      </c>
      <c r="AR3" s="132">
        <v>17</v>
      </c>
      <c r="AS3" s="21">
        <v>18</v>
      </c>
      <c r="AT3" s="21">
        <v>19</v>
      </c>
      <c r="AU3" s="213">
        <v>20</v>
      </c>
      <c r="AV3" s="213">
        <v>21</v>
      </c>
      <c r="AW3" s="213">
        <v>22</v>
      </c>
      <c r="AX3" s="213">
        <v>23</v>
      </c>
      <c r="AY3" s="213">
        <v>24</v>
      </c>
      <c r="AZ3" s="21">
        <v>25</v>
      </c>
      <c r="BA3" s="213">
        <v>26</v>
      </c>
      <c r="BB3" s="213">
        <v>27</v>
      </c>
      <c r="BC3" s="386"/>
      <c r="BD3" s="387"/>
    </row>
    <row r="4" spans="1:56" ht="14.45" customHeight="1">
      <c r="A4" s="389" t="s">
        <v>139</v>
      </c>
      <c r="B4" s="391"/>
      <c r="C4" s="391"/>
      <c r="D4" s="393"/>
      <c r="E4" s="395"/>
      <c r="F4" s="289" t="s">
        <v>35</v>
      </c>
      <c r="G4" s="63">
        <f>(SUMIF($E$6:$E$120,"=0",G6:G120)+SUMIF($E$6:$E$115,"=2",G6:G115))/17</f>
        <v>28.882352941176471</v>
      </c>
      <c r="H4" s="64">
        <f>(K4+L4+M4+N4+O4+P4+Q4+T4+U4+V4+W4+X4+Y4+Z4+AC4+AD4+AE4)/17</f>
        <v>29.705882352941178</v>
      </c>
      <c r="I4" s="396" t="s">
        <v>28</v>
      </c>
      <c r="J4" s="382" t="s">
        <v>140</v>
      </c>
      <c r="K4" s="176">
        <f t="shared" ref="K4:BB4" si="0">SUMIF($E$6:$E$193,"=0",K6:K193)+SUMIF($E$6:$E$193,"=2",K6:K193)</f>
        <v>0</v>
      </c>
      <c r="L4" s="7">
        <f t="shared" si="0"/>
        <v>34</v>
      </c>
      <c r="M4" s="7">
        <f t="shared" si="0"/>
        <v>31.5</v>
      </c>
      <c r="N4" s="176">
        <f t="shared" si="0"/>
        <v>27.5</v>
      </c>
      <c r="O4" s="176">
        <f t="shared" si="0"/>
        <v>26</v>
      </c>
      <c r="P4" s="7">
        <f t="shared" si="0"/>
        <v>35</v>
      </c>
      <c r="Q4" s="7">
        <f t="shared" si="0"/>
        <v>33.5</v>
      </c>
      <c r="R4" s="69">
        <f t="shared" si="0"/>
        <v>0</v>
      </c>
      <c r="S4" s="69">
        <f t="shared" si="0"/>
        <v>0</v>
      </c>
      <c r="T4" s="7">
        <f t="shared" si="0"/>
        <v>30.5</v>
      </c>
      <c r="U4" s="7">
        <f t="shared" si="0"/>
        <v>32</v>
      </c>
      <c r="V4" s="176">
        <f t="shared" si="0"/>
        <v>36</v>
      </c>
      <c r="W4" s="176">
        <f t="shared" si="0"/>
        <v>31.5</v>
      </c>
      <c r="X4" s="7">
        <f t="shared" si="0"/>
        <v>26</v>
      </c>
      <c r="Y4" s="7">
        <f t="shared" si="0"/>
        <v>30</v>
      </c>
      <c r="Z4" s="7">
        <f t="shared" si="0"/>
        <v>33</v>
      </c>
      <c r="AA4" s="127">
        <f t="shared" si="0"/>
        <v>0</v>
      </c>
      <c r="AB4" s="127">
        <f t="shared" si="0"/>
        <v>0</v>
      </c>
      <c r="AC4" s="7">
        <f t="shared" si="0"/>
        <v>36</v>
      </c>
      <c r="AD4" s="7">
        <f t="shared" si="0"/>
        <v>34</v>
      </c>
      <c r="AE4" s="176">
        <f t="shared" si="0"/>
        <v>28.5</v>
      </c>
      <c r="AF4" s="176">
        <f t="shared" si="0"/>
        <v>24</v>
      </c>
      <c r="AG4" s="7">
        <f t="shared" si="0"/>
        <v>37</v>
      </c>
      <c r="AH4" s="7">
        <f t="shared" si="0"/>
        <v>38</v>
      </c>
      <c r="AI4" s="127">
        <f t="shared" si="0"/>
        <v>0</v>
      </c>
      <c r="AJ4" s="127">
        <f t="shared" si="0"/>
        <v>0</v>
      </c>
      <c r="AK4" s="7">
        <f t="shared" si="0"/>
        <v>38.5</v>
      </c>
      <c r="AL4" s="7">
        <f t="shared" si="0"/>
        <v>35</v>
      </c>
      <c r="AM4" s="176">
        <f t="shared" si="0"/>
        <v>36</v>
      </c>
      <c r="AN4" s="176">
        <f t="shared" si="0"/>
        <v>39.5</v>
      </c>
      <c r="AO4" s="7">
        <f t="shared" si="0"/>
        <v>0</v>
      </c>
      <c r="AP4" s="7">
        <f t="shared" si="0"/>
        <v>0</v>
      </c>
      <c r="AQ4" s="127">
        <f t="shared" si="0"/>
        <v>0</v>
      </c>
      <c r="AR4" s="127">
        <f t="shared" si="0"/>
        <v>0</v>
      </c>
      <c r="AS4" s="7">
        <f t="shared" si="0"/>
        <v>0</v>
      </c>
      <c r="AT4" s="7">
        <f t="shared" si="0"/>
        <v>0</v>
      </c>
      <c r="AU4" s="176">
        <f t="shared" si="0"/>
        <v>0</v>
      </c>
      <c r="AV4" s="176">
        <f t="shared" si="0"/>
        <v>0</v>
      </c>
      <c r="AW4" s="176">
        <f t="shared" si="0"/>
        <v>0</v>
      </c>
      <c r="AX4" s="176">
        <f t="shared" si="0"/>
        <v>0</v>
      </c>
      <c r="AY4" s="176">
        <f t="shared" si="0"/>
        <v>0</v>
      </c>
      <c r="AZ4" s="7">
        <f t="shared" si="0"/>
        <v>0</v>
      </c>
      <c r="BA4" s="176">
        <f t="shared" si="0"/>
        <v>0</v>
      </c>
      <c r="BB4" s="176">
        <f t="shared" si="0"/>
        <v>0</v>
      </c>
      <c r="BC4" s="386"/>
      <c r="BD4" s="387"/>
    </row>
    <row r="5" spans="1:56" ht="15" customHeight="1" thickBot="1">
      <c r="A5" s="389"/>
      <c r="B5" s="391"/>
      <c r="C5" s="391"/>
      <c r="D5" s="393"/>
      <c r="E5" s="395"/>
      <c r="F5" s="290" t="s">
        <v>37</v>
      </c>
      <c r="G5" s="135">
        <f>(SUMIF($E$6:$E$120,"=1",G6:G120)+SUMIF($E$6:$E$115,"=2",G6:G115))/11</f>
        <v>38.772727272727273</v>
      </c>
      <c r="H5" s="65">
        <f>(L5+M5+P5+Q5+T5+U5+V5+Y5+Z5+AD5+AE5)/11</f>
        <v>31.727272727272727</v>
      </c>
      <c r="I5" s="397"/>
      <c r="J5" s="383"/>
      <c r="K5" s="177">
        <f t="shared" ref="K5:BB5" si="1">SUMIF($E$6:$E$193,"=1",K6:K193)+SUMIF($E$6:$E$193,"=2",K6:K193)</f>
        <v>0</v>
      </c>
      <c r="L5" s="22">
        <f t="shared" si="1"/>
        <v>31.5</v>
      </c>
      <c r="M5" s="22">
        <f t="shared" si="1"/>
        <v>42</v>
      </c>
      <c r="N5" s="177">
        <f t="shared" si="1"/>
        <v>0</v>
      </c>
      <c r="O5" s="177">
        <f t="shared" si="1"/>
        <v>0</v>
      </c>
      <c r="P5" s="22">
        <f t="shared" si="1"/>
        <v>42.5</v>
      </c>
      <c r="Q5" s="22">
        <f t="shared" si="1"/>
        <v>44</v>
      </c>
      <c r="R5" s="148">
        <f t="shared" si="1"/>
        <v>0</v>
      </c>
      <c r="S5" s="148">
        <f t="shared" si="1"/>
        <v>0</v>
      </c>
      <c r="T5" s="22">
        <f t="shared" si="1"/>
        <v>45.5</v>
      </c>
      <c r="U5" s="22">
        <f t="shared" si="1"/>
        <v>41</v>
      </c>
      <c r="V5" s="177">
        <f t="shared" si="1"/>
        <v>0</v>
      </c>
      <c r="W5" s="177">
        <f t="shared" si="1"/>
        <v>0</v>
      </c>
      <c r="X5" s="22">
        <f t="shared" si="1"/>
        <v>47.5</v>
      </c>
      <c r="Y5" s="22">
        <f t="shared" si="1"/>
        <v>33.5</v>
      </c>
      <c r="Z5" s="22">
        <f t="shared" si="1"/>
        <v>35</v>
      </c>
      <c r="AA5" s="149">
        <f t="shared" si="1"/>
        <v>0</v>
      </c>
      <c r="AB5" s="149">
        <f t="shared" si="1"/>
        <v>0</v>
      </c>
      <c r="AC5" s="22">
        <f t="shared" si="1"/>
        <v>34</v>
      </c>
      <c r="AD5" s="22">
        <f t="shared" si="1"/>
        <v>34</v>
      </c>
      <c r="AE5" s="177">
        <f t="shared" si="1"/>
        <v>0</v>
      </c>
      <c r="AF5" s="177">
        <f t="shared" si="1"/>
        <v>0</v>
      </c>
      <c r="AG5" s="22">
        <f t="shared" si="1"/>
        <v>28.5</v>
      </c>
      <c r="AH5" s="22">
        <f t="shared" si="1"/>
        <v>31.5</v>
      </c>
      <c r="AI5" s="149">
        <f t="shared" si="1"/>
        <v>0</v>
      </c>
      <c r="AJ5" s="149">
        <f t="shared" si="1"/>
        <v>0</v>
      </c>
      <c r="AK5" s="22">
        <f t="shared" si="1"/>
        <v>30.5</v>
      </c>
      <c r="AL5" s="22">
        <f t="shared" si="1"/>
        <v>29.5</v>
      </c>
      <c r="AM5" s="177">
        <f t="shared" si="1"/>
        <v>0</v>
      </c>
      <c r="AN5" s="177">
        <f t="shared" si="1"/>
        <v>0</v>
      </c>
      <c r="AO5" s="22">
        <f t="shared" si="1"/>
        <v>36</v>
      </c>
      <c r="AP5" s="22">
        <f t="shared" si="1"/>
        <v>40</v>
      </c>
      <c r="AQ5" s="149">
        <f t="shared" si="1"/>
        <v>0</v>
      </c>
      <c r="AR5" s="149">
        <f t="shared" si="1"/>
        <v>0</v>
      </c>
      <c r="AS5" s="22">
        <f t="shared" si="1"/>
        <v>34</v>
      </c>
      <c r="AT5" s="22">
        <f t="shared" si="1"/>
        <v>36</v>
      </c>
      <c r="AU5" s="177">
        <f t="shared" si="1"/>
        <v>0</v>
      </c>
      <c r="AV5" s="177">
        <f t="shared" si="1"/>
        <v>0</v>
      </c>
      <c r="AW5" s="177">
        <f t="shared" si="1"/>
        <v>0</v>
      </c>
      <c r="AX5" s="177">
        <f t="shared" si="1"/>
        <v>0</v>
      </c>
      <c r="AY5" s="177">
        <f t="shared" si="1"/>
        <v>0</v>
      </c>
      <c r="AZ5" s="22">
        <f t="shared" si="1"/>
        <v>33.5</v>
      </c>
      <c r="BA5" s="177">
        <f t="shared" si="1"/>
        <v>0</v>
      </c>
      <c r="BB5" s="177">
        <f t="shared" si="1"/>
        <v>0</v>
      </c>
      <c r="BC5" s="386"/>
      <c r="BD5" s="387"/>
    </row>
    <row r="6" spans="1:56" ht="15.75" thickTop="1">
      <c r="A6" s="368" t="s">
        <v>141</v>
      </c>
      <c r="B6" s="351" t="s">
        <v>142</v>
      </c>
      <c r="C6" s="351" t="s">
        <v>143</v>
      </c>
      <c r="D6" s="45">
        <f>COUNT(K6:BA6)</f>
        <v>7</v>
      </c>
      <c r="E6" s="45">
        <v>0</v>
      </c>
      <c r="F6" s="45" t="s">
        <v>33</v>
      </c>
      <c r="G6" s="45">
        <v>12</v>
      </c>
      <c r="H6" s="223">
        <f t="shared" ref="H6:H69" si="2">G6-SUM(K6:BA6)</f>
        <v>0</v>
      </c>
      <c r="I6" s="45" t="s">
        <v>34</v>
      </c>
      <c r="J6" s="371" t="s">
        <v>35</v>
      </c>
      <c r="K6" s="166"/>
      <c r="L6" s="45">
        <v>3</v>
      </c>
      <c r="M6" s="45">
        <v>1.5</v>
      </c>
      <c r="N6" s="178">
        <v>1.5</v>
      </c>
      <c r="O6" s="178">
        <v>1.5</v>
      </c>
      <c r="P6" s="45">
        <v>1.5</v>
      </c>
      <c r="Q6" s="45">
        <v>1.5</v>
      </c>
      <c r="R6" s="136"/>
      <c r="S6" s="136"/>
      <c r="T6" s="45">
        <v>1.5</v>
      </c>
      <c r="U6" s="45"/>
      <c r="V6" s="178"/>
      <c r="W6" s="178"/>
      <c r="X6" s="45"/>
      <c r="Y6" s="45"/>
      <c r="Z6" s="45"/>
      <c r="AA6" s="142"/>
      <c r="AB6" s="142"/>
      <c r="AC6" s="45"/>
      <c r="AD6" s="45"/>
      <c r="AE6" s="178"/>
      <c r="AF6" s="178"/>
      <c r="AG6" s="45"/>
      <c r="AH6" s="45"/>
      <c r="AI6" s="142"/>
      <c r="AJ6" s="142"/>
      <c r="AK6" s="45"/>
      <c r="AL6" s="45"/>
      <c r="AM6" s="178"/>
      <c r="AN6" s="178"/>
      <c r="AO6" s="153"/>
      <c r="AP6" s="153"/>
      <c r="AQ6" s="154"/>
      <c r="AR6" s="154"/>
      <c r="AS6" s="153"/>
      <c r="AT6" s="153"/>
      <c r="AU6" s="153"/>
      <c r="AV6" s="153"/>
      <c r="AW6" s="153"/>
      <c r="AX6" s="153"/>
      <c r="AY6" s="153"/>
      <c r="AZ6" s="153"/>
      <c r="BA6" s="153"/>
      <c r="BB6" s="231"/>
      <c r="BC6" s="326" t="s">
        <v>144</v>
      </c>
      <c r="BD6" s="327"/>
    </row>
    <row r="7" spans="1:56">
      <c r="A7" s="369"/>
      <c r="B7" s="352"/>
      <c r="C7" s="352"/>
      <c r="D7" s="43">
        <f t="shared" ref="D7:D70" si="3">COUNT(K7:BA7)</f>
        <v>6</v>
      </c>
      <c r="E7" s="43">
        <v>0</v>
      </c>
      <c r="F7" s="43" t="s">
        <v>36</v>
      </c>
      <c r="G7" s="43">
        <v>12</v>
      </c>
      <c r="H7" s="224">
        <f t="shared" si="2"/>
        <v>0</v>
      </c>
      <c r="I7" s="43" t="s">
        <v>34</v>
      </c>
      <c r="J7" s="372"/>
      <c r="K7" s="167"/>
      <c r="L7" s="43"/>
      <c r="M7" s="43"/>
      <c r="N7" s="179"/>
      <c r="O7" s="179"/>
      <c r="P7" s="43"/>
      <c r="Q7" s="43"/>
      <c r="R7" s="137"/>
      <c r="S7" s="137"/>
      <c r="T7" s="43"/>
      <c r="U7" s="43">
        <v>3</v>
      </c>
      <c r="V7" s="179">
        <v>1.5</v>
      </c>
      <c r="W7" s="179">
        <v>3</v>
      </c>
      <c r="X7" s="43">
        <v>1.5</v>
      </c>
      <c r="Y7" s="43">
        <v>1.5</v>
      </c>
      <c r="Z7" s="43">
        <v>1.5</v>
      </c>
      <c r="AA7" s="143"/>
      <c r="AB7" s="143"/>
      <c r="AC7" s="43"/>
      <c r="AD7" s="43"/>
      <c r="AE7" s="179"/>
      <c r="AF7" s="179"/>
      <c r="AG7" s="43"/>
      <c r="AH7" s="43"/>
      <c r="AI7" s="143"/>
      <c r="AJ7" s="143"/>
      <c r="AK7" s="43"/>
      <c r="AL7" s="43"/>
      <c r="AM7" s="179"/>
      <c r="AN7" s="179"/>
      <c r="AO7" s="156"/>
      <c r="AP7" s="156"/>
      <c r="AQ7" s="157"/>
      <c r="AR7" s="157"/>
      <c r="AS7" s="156"/>
      <c r="AT7" s="156"/>
      <c r="AU7" s="156"/>
      <c r="AV7" s="156"/>
      <c r="AW7" s="156"/>
      <c r="AX7" s="156"/>
      <c r="AY7" s="156"/>
      <c r="AZ7" s="156"/>
      <c r="BA7" s="156"/>
      <c r="BB7" s="232"/>
      <c r="BC7" s="328"/>
      <c r="BD7" s="329"/>
    </row>
    <row r="8" spans="1:56">
      <c r="A8" s="369"/>
      <c r="B8" s="352"/>
      <c r="C8" s="43" t="s">
        <v>38</v>
      </c>
      <c r="D8" s="43">
        <f t="shared" si="3"/>
        <v>2</v>
      </c>
      <c r="E8" s="43">
        <v>0</v>
      </c>
      <c r="F8" s="43" t="s">
        <v>39</v>
      </c>
      <c r="G8" s="43">
        <v>4</v>
      </c>
      <c r="H8" s="224">
        <f t="shared" si="2"/>
        <v>0</v>
      </c>
      <c r="I8" s="43">
        <v>123</v>
      </c>
      <c r="J8" s="372"/>
      <c r="K8" s="167"/>
      <c r="L8" s="43"/>
      <c r="M8" s="43"/>
      <c r="N8" s="179"/>
      <c r="O8" s="179"/>
      <c r="P8" s="43"/>
      <c r="Q8" s="43"/>
      <c r="R8" s="137"/>
      <c r="S8" s="137"/>
      <c r="T8" s="43"/>
      <c r="U8" s="43"/>
      <c r="V8" s="179"/>
      <c r="W8" s="179"/>
      <c r="X8" s="43"/>
      <c r="Y8" s="43"/>
      <c r="Z8" s="43"/>
      <c r="AA8" s="143"/>
      <c r="AB8" s="143"/>
      <c r="AC8" s="43">
        <v>2</v>
      </c>
      <c r="AD8" s="43">
        <v>2</v>
      </c>
      <c r="AE8" s="179"/>
      <c r="AF8" s="179"/>
      <c r="AG8" s="43"/>
      <c r="AH8" s="43"/>
      <c r="AI8" s="143"/>
      <c r="AJ8" s="143"/>
      <c r="AK8" s="43"/>
      <c r="AL8" s="43"/>
      <c r="AM8" s="179"/>
      <c r="AN8" s="179"/>
      <c r="AO8" s="156"/>
      <c r="AP8" s="156"/>
      <c r="AQ8" s="157"/>
      <c r="AR8" s="157"/>
      <c r="AS8" s="156"/>
      <c r="AT8" s="156"/>
      <c r="AU8" s="156"/>
      <c r="AV8" s="156"/>
      <c r="AW8" s="156"/>
      <c r="AX8" s="156"/>
      <c r="AY8" s="156"/>
      <c r="AZ8" s="156"/>
      <c r="BA8" s="156"/>
      <c r="BB8" s="232"/>
      <c r="BC8" s="328"/>
      <c r="BD8" s="329"/>
    </row>
    <row r="9" spans="1:56">
      <c r="A9" s="369"/>
      <c r="B9" s="352"/>
      <c r="C9" s="352" t="s">
        <v>143</v>
      </c>
      <c r="D9" s="43">
        <f t="shared" si="3"/>
        <v>8</v>
      </c>
      <c r="E9" s="43">
        <v>1</v>
      </c>
      <c r="F9" s="43" t="s">
        <v>33</v>
      </c>
      <c r="G9" s="43">
        <v>12</v>
      </c>
      <c r="H9" s="224">
        <f t="shared" si="2"/>
        <v>0</v>
      </c>
      <c r="I9" s="43" t="s">
        <v>34</v>
      </c>
      <c r="J9" s="372" t="s">
        <v>37</v>
      </c>
      <c r="K9" s="167"/>
      <c r="L9" s="43">
        <v>1.5</v>
      </c>
      <c r="M9" s="43">
        <v>1.5</v>
      </c>
      <c r="N9" s="179"/>
      <c r="O9" s="179"/>
      <c r="P9" s="43">
        <v>1.5</v>
      </c>
      <c r="Q9" s="43">
        <v>1.5</v>
      </c>
      <c r="R9" s="137"/>
      <c r="S9" s="137"/>
      <c r="T9" s="43">
        <v>1.5</v>
      </c>
      <c r="U9" s="43">
        <v>1.5</v>
      </c>
      <c r="V9" s="179"/>
      <c r="W9" s="179"/>
      <c r="X9" s="43">
        <v>1.5</v>
      </c>
      <c r="Y9" s="43">
        <v>1.5</v>
      </c>
      <c r="Z9" s="43"/>
      <c r="AA9" s="143"/>
      <c r="AB9" s="143"/>
      <c r="AC9" s="43"/>
      <c r="AD9" s="43"/>
      <c r="AE9" s="179"/>
      <c r="AF9" s="179"/>
      <c r="AG9" s="43"/>
      <c r="AH9" s="43"/>
      <c r="AI9" s="143"/>
      <c r="AJ9" s="143"/>
      <c r="AK9" s="43"/>
      <c r="AL9" s="43"/>
      <c r="AM9" s="179"/>
      <c r="AN9" s="179"/>
      <c r="AO9" s="43"/>
      <c r="AP9" s="43"/>
      <c r="AQ9" s="143"/>
      <c r="AR9" s="143"/>
      <c r="AS9" s="43"/>
      <c r="AT9" s="43"/>
      <c r="AU9" s="179"/>
      <c r="AV9" s="179"/>
      <c r="AW9" s="179"/>
      <c r="AX9" s="179"/>
      <c r="AY9" s="179"/>
      <c r="AZ9" s="43"/>
      <c r="BA9" s="179"/>
      <c r="BB9" s="233"/>
      <c r="BC9" s="328"/>
      <c r="BD9" s="329"/>
    </row>
    <row r="10" spans="1:56">
      <c r="A10" s="369"/>
      <c r="B10" s="352"/>
      <c r="C10" s="352"/>
      <c r="D10" s="43">
        <f t="shared" si="3"/>
        <v>8</v>
      </c>
      <c r="E10" s="43">
        <v>1</v>
      </c>
      <c r="F10" s="43" t="s">
        <v>36</v>
      </c>
      <c r="G10" s="43">
        <v>12</v>
      </c>
      <c r="H10" s="224">
        <f t="shared" si="2"/>
        <v>0</v>
      </c>
      <c r="I10" s="43" t="s">
        <v>34</v>
      </c>
      <c r="J10" s="372"/>
      <c r="K10" s="167"/>
      <c r="L10" s="43">
        <v>1.5</v>
      </c>
      <c r="M10" s="43">
        <v>1.5</v>
      </c>
      <c r="N10" s="179"/>
      <c r="O10" s="179"/>
      <c r="P10" s="43">
        <v>1.5</v>
      </c>
      <c r="Q10" s="43">
        <v>1.5</v>
      </c>
      <c r="R10" s="137"/>
      <c r="S10" s="137"/>
      <c r="T10" s="43">
        <v>1.5</v>
      </c>
      <c r="U10" s="43">
        <v>1.5</v>
      </c>
      <c r="V10" s="179"/>
      <c r="W10" s="179"/>
      <c r="X10" s="43"/>
      <c r="Y10" s="43">
        <v>1.5</v>
      </c>
      <c r="Z10" s="43">
        <v>1.5</v>
      </c>
      <c r="AA10" s="143"/>
      <c r="AB10" s="143"/>
      <c r="AC10" s="43"/>
      <c r="AD10" s="43"/>
      <c r="AE10" s="179"/>
      <c r="AF10" s="179"/>
      <c r="AG10" s="43"/>
      <c r="AH10" s="43"/>
      <c r="AI10" s="143"/>
      <c r="AJ10" s="143"/>
      <c r="AK10" s="43"/>
      <c r="AL10" s="43"/>
      <c r="AM10" s="179"/>
      <c r="AN10" s="179"/>
      <c r="AO10" s="43"/>
      <c r="AP10" s="43"/>
      <c r="AQ10" s="143"/>
      <c r="AR10" s="143"/>
      <c r="AS10" s="43"/>
      <c r="AT10" s="43"/>
      <c r="AU10" s="179"/>
      <c r="AV10" s="179"/>
      <c r="AW10" s="179"/>
      <c r="AX10" s="179"/>
      <c r="AY10" s="179"/>
      <c r="AZ10" s="43"/>
      <c r="BA10" s="179"/>
      <c r="BB10" s="233"/>
      <c r="BC10" s="328"/>
      <c r="BD10" s="329"/>
    </row>
    <row r="11" spans="1:56" ht="15.75" thickBot="1">
      <c r="A11" s="370"/>
      <c r="B11" s="355"/>
      <c r="C11" s="46" t="s">
        <v>38</v>
      </c>
      <c r="D11" s="46">
        <f t="shared" si="3"/>
        <v>2</v>
      </c>
      <c r="E11" s="46">
        <v>1</v>
      </c>
      <c r="F11" s="46" t="s">
        <v>39</v>
      </c>
      <c r="G11" s="46">
        <v>4</v>
      </c>
      <c r="H11" s="225">
        <f t="shared" si="2"/>
        <v>0</v>
      </c>
      <c r="I11" s="46">
        <v>123</v>
      </c>
      <c r="J11" s="376"/>
      <c r="K11" s="168"/>
      <c r="L11" s="46"/>
      <c r="M11" s="46"/>
      <c r="N11" s="180"/>
      <c r="O11" s="180"/>
      <c r="P11" s="46"/>
      <c r="Q11" s="46"/>
      <c r="R11" s="138"/>
      <c r="S11" s="138"/>
      <c r="T11" s="46"/>
      <c r="U11" s="46"/>
      <c r="V11" s="180"/>
      <c r="W11" s="180"/>
      <c r="X11" s="46"/>
      <c r="Y11" s="46"/>
      <c r="Z11" s="46"/>
      <c r="AA11" s="144"/>
      <c r="AB11" s="144"/>
      <c r="AC11" s="46">
        <v>2</v>
      </c>
      <c r="AD11" s="46">
        <v>2</v>
      </c>
      <c r="AE11" s="180"/>
      <c r="AF11" s="180"/>
      <c r="AG11" s="46"/>
      <c r="AH11" s="46"/>
      <c r="AI11" s="144"/>
      <c r="AJ11" s="144"/>
      <c r="AK11" s="46"/>
      <c r="AL11" s="46"/>
      <c r="AM11" s="180"/>
      <c r="AN11" s="180"/>
      <c r="AO11" s="46"/>
      <c r="AP11" s="46"/>
      <c r="AQ11" s="144"/>
      <c r="AR11" s="144"/>
      <c r="AS11" s="46"/>
      <c r="AT11" s="46"/>
      <c r="AU11" s="180"/>
      <c r="AV11" s="180"/>
      <c r="AW11" s="180"/>
      <c r="AX11" s="180"/>
      <c r="AY11" s="180"/>
      <c r="AZ11" s="46"/>
      <c r="BA11" s="180"/>
      <c r="BB11" s="235"/>
      <c r="BC11" s="330"/>
      <c r="BD11" s="331"/>
    </row>
    <row r="12" spans="1:56" ht="15.75" thickTop="1">
      <c r="A12" s="368" t="s">
        <v>145</v>
      </c>
      <c r="B12" s="351" t="s">
        <v>146</v>
      </c>
      <c r="C12" s="351" t="s">
        <v>147</v>
      </c>
      <c r="D12" s="45">
        <f t="shared" si="3"/>
        <v>0</v>
      </c>
      <c r="E12" s="45">
        <v>0</v>
      </c>
      <c r="F12" s="45" t="s">
        <v>33</v>
      </c>
      <c r="G12" s="45">
        <v>0</v>
      </c>
      <c r="H12" s="223">
        <f t="shared" si="2"/>
        <v>0</v>
      </c>
      <c r="I12" s="45"/>
      <c r="J12" s="371" t="s">
        <v>35</v>
      </c>
      <c r="K12" s="166"/>
      <c r="L12" s="45"/>
      <c r="M12" s="45"/>
      <c r="N12" s="178"/>
      <c r="O12" s="178"/>
      <c r="P12" s="45"/>
      <c r="Q12" s="45"/>
      <c r="R12" s="136"/>
      <c r="S12" s="136"/>
      <c r="T12" s="45"/>
      <c r="U12" s="45"/>
      <c r="V12" s="178"/>
      <c r="W12" s="178"/>
      <c r="X12" s="45"/>
      <c r="Y12" s="45"/>
      <c r="Z12" s="45"/>
      <c r="AA12" s="142"/>
      <c r="AB12" s="142"/>
      <c r="AC12" s="45"/>
      <c r="AD12" s="45"/>
      <c r="AE12" s="178"/>
      <c r="AF12" s="178"/>
      <c r="AG12" s="45"/>
      <c r="AH12" s="45"/>
      <c r="AI12" s="142"/>
      <c r="AJ12" s="142"/>
      <c r="AK12" s="45"/>
      <c r="AL12" s="45"/>
      <c r="AM12" s="178"/>
      <c r="AN12" s="178"/>
      <c r="AO12" s="153"/>
      <c r="AP12" s="153"/>
      <c r="AQ12" s="154"/>
      <c r="AR12" s="154"/>
      <c r="AS12" s="153"/>
      <c r="AT12" s="153"/>
      <c r="AU12" s="153"/>
      <c r="AV12" s="153"/>
      <c r="AW12" s="153"/>
      <c r="AX12" s="153"/>
      <c r="AY12" s="153"/>
      <c r="AZ12" s="153"/>
      <c r="BA12" s="153"/>
      <c r="BB12" s="231"/>
      <c r="BC12" s="332"/>
      <c r="BD12" s="333"/>
    </row>
    <row r="13" spans="1:56">
      <c r="A13" s="369"/>
      <c r="B13" s="352"/>
      <c r="C13" s="352"/>
      <c r="D13" s="43">
        <f t="shared" si="3"/>
        <v>0</v>
      </c>
      <c r="E13" s="43">
        <v>0</v>
      </c>
      <c r="F13" s="43" t="s">
        <v>36</v>
      </c>
      <c r="G13" s="43">
        <v>0</v>
      </c>
      <c r="H13" s="224">
        <f t="shared" si="2"/>
        <v>0</v>
      </c>
      <c r="I13" s="43"/>
      <c r="J13" s="372"/>
      <c r="K13" s="167"/>
      <c r="L13" s="43"/>
      <c r="M13" s="43"/>
      <c r="N13" s="179"/>
      <c r="O13" s="179"/>
      <c r="P13" s="43"/>
      <c r="Q13" s="43"/>
      <c r="R13" s="137"/>
      <c r="S13" s="137"/>
      <c r="T13" s="43"/>
      <c r="U13" s="43"/>
      <c r="V13" s="179"/>
      <c r="W13" s="179"/>
      <c r="X13" s="43"/>
      <c r="Y13" s="43"/>
      <c r="Z13" s="43"/>
      <c r="AA13" s="143"/>
      <c r="AB13" s="143"/>
      <c r="AC13" s="43"/>
      <c r="AD13" s="43"/>
      <c r="AE13" s="179"/>
      <c r="AF13" s="179"/>
      <c r="AG13" s="43"/>
      <c r="AH13" s="43"/>
      <c r="AI13" s="143"/>
      <c r="AJ13" s="143"/>
      <c r="AK13" s="43"/>
      <c r="AL13" s="43"/>
      <c r="AM13" s="179"/>
      <c r="AN13" s="179"/>
      <c r="AO13" s="156"/>
      <c r="AP13" s="156"/>
      <c r="AQ13" s="157"/>
      <c r="AR13" s="157"/>
      <c r="AS13" s="156"/>
      <c r="AT13" s="156"/>
      <c r="AU13" s="156"/>
      <c r="AV13" s="156"/>
      <c r="AW13" s="156"/>
      <c r="AX13" s="156"/>
      <c r="AY13" s="156"/>
      <c r="AZ13" s="156"/>
      <c r="BA13" s="156"/>
      <c r="BB13" s="232"/>
      <c r="BC13" s="334"/>
      <c r="BD13" s="335"/>
    </row>
    <row r="14" spans="1:56">
      <c r="A14" s="369"/>
      <c r="B14" s="352"/>
      <c r="C14" s="352"/>
      <c r="D14" s="43">
        <f t="shared" si="3"/>
        <v>6</v>
      </c>
      <c r="E14" s="43">
        <v>0</v>
      </c>
      <c r="F14" s="43" t="s">
        <v>39</v>
      </c>
      <c r="G14" s="43">
        <v>18</v>
      </c>
      <c r="H14" s="224">
        <f>G14-SUM(K14:BA14)</f>
        <v>0</v>
      </c>
      <c r="I14" s="43">
        <v>123</v>
      </c>
      <c r="J14" s="372"/>
      <c r="K14" s="167"/>
      <c r="L14" s="43">
        <v>3</v>
      </c>
      <c r="M14" s="43">
        <v>3</v>
      </c>
      <c r="N14" s="179">
        <v>3</v>
      </c>
      <c r="O14" s="179">
        <v>3</v>
      </c>
      <c r="P14" s="43">
        <v>3</v>
      </c>
      <c r="Q14" s="43">
        <v>3</v>
      </c>
      <c r="R14" s="137"/>
      <c r="S14" s="137"/>
      <c r="T14" s="43"/>
      <c r="U14" s="43"/>
      <c r="V14" s="179"/>
      <c r="W14" s="179"/>
      <c r="X14" s="43"/>
      <c r="Y14" s="43"/>
      <c r="Z14" s="43"/>
      <c r="AA14" s="143"/>
      <c r="AB14" s="143"/>
      <c r="AC14" s="43"/>
      <c r="AD14" s="43"/>
      <c r="AE14" s="179"/>
      <c r="AF14" s="179"/>
      <c r="AG14" s="43"/>
      <c r="AH14" s="43"/>
      <c r="AI14" s="143"/>
      <c r="AJ14" s="143"/>
      <c r="AK14" s="43"/>
      <c r="AL14" s="43"/>
      <c r="AM14" s="179"/>
      <c r="AN14" s="179"/>
      <c r="AO14" s="156"/>
      <c r="AP14" s="156"/>
      <c r="AQ14" s="157"/>
      <c r="AR14" s="157"/>
      <c r="AS14" s="156"/>
      <c r="AT14" s="156"/>
      <c r="AU14" s="156"/>
      <c r="AV14" s="156"/>
      <c r="AW14" s="156"/>
      <c r="AX14" s="156"/>
      <c r="AY14" s="156"/>
      <c r="AZ14" s="156"/>
      <c r="BA14" s="156"/>
      <c r="BB14" s="232"/>
      <c r="BC14" s="334"/>
      <c r="BD14" s="335"/>
    </row>
    <row r="15" spans="1:56">
      <c r="A15" s="369"/>
      <c r="B15" s="352"/>
      <c r="C15" s="352"/>
      <c r="D15" s="43">
        <f t="shared" si="3"/>
        <v>0</v>
      </c>
      <c r="E15" s="43">
        <v>1</v>
      </c>
      <c r="F15" s="43" t="s">
        <v>33</v>
      </c>
      <c r="G15" s="43">
        <v>0</v>
      </c>
      <c r="H15" s="224">
        <f t="shared" si="2"/>
        <v>0</v>
      </c>
      <c r="I15" s="43"/>
      <c r="J15" s="372" t="s">
        <v>37</v>
      </c>
      <c r="K15" s="167"/>
      <c r="L15" s="43"/>
      <c r="M15" s="43"/>
      <c r="N15" s="179"/>
      <c r="O15" s="179"/>
      <c r="P15" s="43"/>
      <c r="Q15" s="43"/>
      <c r="R15" s="137"/>
      <c r="S15" s="137"/>
      <c r="T15" s="43"/>
      <c r="U15" s="43"/>
      <c r="V15" s="179"/>
      <c r="W15" s="179"/>
      <c r="X15" s="43"/>
      <c r="Y15" s="43"/>
      <c r="Z15" s="43"/>
      <c r="AA15" s="143"/>
      <c r="AB15" s="143"/>
      <c r="AC15" s="43"/>
      <c r="AD15" s="43"/>
      <c r="AE15" s="179"/>
      <c r="AF15" s="179"/>
      <c r="AG15" s="43"/>
      <c r="AH15" s="43"/>
      <c r="AI15" s="143"/>
      <c r="AJ15" s="143"/>
      <c r="AK15" s="43"/>
      <c r="AL15" s="43"/>
      <c r="AM15" s="179"/>
      <c r="AN15" s="179"/>
      <c r="AO15" s="43"/>
      <c r="AP15" s="43"/>
      <c r="AQ15" s="143"/>
      <c r="AR15" s="143"/>
      <c r="AS15" s="43"/>
      <c r="AT15" s="43"/>
      <c r="AU15" s="179"/>
      <c r="AV15" s="179"/>
      <c r="AW15" s="179"/>
      <c r="AX15" s="179"/>
      <c r="AY15" s="43"/>
      <c r="AZ15" s="43"/>
      <c r="BA15" s="179"/>
      <c r="BB15" s="233"/>
      <c r="BC15" s="334"/>
      <c r="BD15" s="335"/>
    </row>
    <row r="16" spans="1:56">
      <c r="A16" s="369"/>
      <c r="B16" s="352"/>
      <c r="C16" s="352"/>
      <c r="D16" s="43">
        <f t="shared" si="3"/>
        <v>0</v>
      </c>
      <c r="E16" s="43">
        <v>1</v>
      </c>
      <c r="F16" s="43" t="s">
        <v>36</v>
      </c>
      <c r="G16" s="43">
        <v>0</v>
      </c>
      <c r="H16" s="224">
        <f t="shared" si="2"/>
        <v>0</v>
      </c>
      <c r="I16" s="43"/>
      <c r="J16" s="372"/>
      <c r="K16" s="167"/>
      <c r="L16" s="43"/>
      <c r="M16" s="43"/>
      <c r="N16" s="179"/>
      <c r="O16" s="179"/>
      <c r="P16" s="43"/>
      <c r="Q16" s="43"/>
      <c r="R16" s="137"/>
      <c r="S16" s="137"/>
      <c r="T16" s="43"/>
      <c r="U16" s="43"/>
      <c r="V16" s="179"/>
      <c r="W16" s="179"/>
      <c r="X16" s="43"/>
      <c r="Y16" s="43"/>
      <c r="Z16" s="43"/>
      <c r="AA16" s="143"/>
      <c r="AB16" s="143"/>
      <c r="AC16" s="43"/>
      <c r="AD16" s="43"/>
      <c r="AE16" s="179"/>
      <c r="AF16" s="179"/>
      <c r="AG16" s="43"/>
      <c r="AH16" s="43"/>
      <c r="AI16" s="143"/>
      <c r="AJ16" s="143"/>
      <c r="AK16" s="43"/>
      <c r="AL16" s="43"/>
      <c r="AM16" s="179"/>
      <c r="AN16" s="179"/>
      <c r="AO16" s="43"/>
      <c r="AP16" s="43"/>
      <c r="AQ16" s="143"/>
      <c r="AR16" s="143"/>
      <c r="AS16" s="43"/>
      <c r="AT16" s="43"/>
      <c r="AU16" s="179"/>
      <c r="AV16" s="179"/>
      <c r="AW16" s="179"/>
      <c r="AX16" s="179"/>
      <c r="AY16" s="43"/>
      <c r="AZ16" s="43"/>
      <c r="BA16" s="179"/>
      <c r="BB16" s="233"/>
      <c r="BC16" s="334"/>
      <c r="BD16" s="335"/>
    </row>
    <row r="17" spans="1:56" ht="15.75" thickBot="1">
      <c r="A17" s="370"/>
      <c r="B17" s="355"/>
      <c r="C17" s="355"/>
      <c r="D17" s="46">
        <f t="shared" si="3"/>
        <v>6</v>
      </c>
      <c r="E17" s="46">
        <v>1</v>
      </c>
      <c r="F17" s="46" t="s">
        <v>39</v>
      </c>
      <c r="G17" s="46">
        <v>18</v>
      </c>
      <c r="H17" s="225">
        <f t="shared" si="2"/>
        <v>0</v>
      </c>
      <c r="I17" s="46">
        <v>123</v>
      </c>
      <c r="J17" s="376"/>
      <c r="K17" s="168"/>
      <c r="L17" s="46"/>
      <c r="M17" s="46"/>
      <c r="N17" s="180"/>
      <c r="O17" s="180"/>
      <c r="P17" s="46">
        <v>3</v>
      </c>
      <c r="Q17" s="46">
        <v>3</v>
      </c>
      <c r="R17" s="138"/>
      <c r="S17" s="138"/>
      <c r="T17" s="46">
        <v>3</v>
      </c>
      <c r="U17" s="46">
        <v>3</v>
      </c>
      <c r="V17" s="180"/>
      <c r="W17" s="180"/>
      <c r="X17" s="46">
        <v>3</v>
      </c>
      <c r="Y17" s="46">
        <v>3</v>
      </c>
      <c r="Z17" s="46"/>
      <c r="AA17" s="144"/>
      <c r="AB17" s="144"/>
      <c r="AC17" s="46"/>
      <c r="AD17" s="46"/>
      <c r="AE17" s="180"/>
      <c r="AF17" s="180"/>
      <c r="AG17" s="46"/>
      <c r="AH17" s="46"/>
      <c r="AI17" s="144"/>
      <c r="AJ17" s="144"/>
      <c r="AK17" s="46"/>
      <c r="AL17" s="46"/>
      <c r="AM17" s="180"/>
      <c r="AN17" s="180"/>
      <c r="AO17" s="46"/>
      <c r="AP17" s="46"/>
      <c r="AQ17" s="144"/>
      <c r="AR17" s="144"/>
      <c r="AS17" s="46"/>
      <c r="AT17" s="46"/>
      <c r="AU17" s="180"/>
      <c r="AV17" s="180"/>
      <c r="AW17" s="180"/>
      <c r="AX17" s="180"/>
      <c r="AY17" s="46"/>
      <c r="AZ17" s="46"/>
      <c r="BA17" s="180"/>
      <c r="BB17" s="235"/>
      <c r="BC17" s="336"/>
      <c r="BD17" s="337"/>
    </row>
    <row r="18" spans="1:56" ht="15.75" thickTop="1">
      <c r="A18" s="368" t="s">
        <v>148</v>
      </c>
      <c r="B18" s="351" t="s">
        <v>149</v>
      </c>
      <c r="C18" s="351" t="s">
        <v>45</v>
      </c>
      <c r="D18" s="45">
        <f t="shared" si="3"/>
        <v>6</v>
      </c>
      <c r="E18" s="45">
        <v>0</v>
      </c>
      <c r="F18" s="45" t="s">
        <v>33</v>
      </c>
      <c r="G18" s="45">
        <v>9</v>
      </c>
      <c r="H18" s="223">
        <f t="shared" si="2"/>
        <v>0</v>
      </c>
      <c r="I18" s="45" t="s">
        <v>34</v>
      </c>
      <c r="J18" s="371" t="s">
        <v>35</v>
      </c>
      <c r="K18" s="166"/>
      <c r="L18" s="45">
        <v>1.5</v>
      </c>
      <c r="M18" s="45">
        <v>1.5</v>
      </c>
      <c r="N18" s="178"/>
      <c r="O18" s="178"/>
      <c r="P18" s="45">
        <v>1.5</v>
      </c>
      <c r="Q18" s="45">
        <v>1.5</v>
      </c>
      <c r="R18" s="136"/>
      <c r="S18" s="136"/>
      <c r="T18" s="45">
        <v>1.5</v>
      </c>
      <c r="U18" s="45">
        <v>1.5</v>
      </c>
      <c r="V18" s="178"/>
      <c r="W18" s="178"/>
      <c r="X18" s="45"/>
      <c r="Y18" s="45"/>
      <c r="Z18" s="45"/>
      <c r="AA18" s="142"/>
      <c r="AB18" s="142"/>
      <c r="AC18" s="45"/>
      <c r="AD18" s="45"/>
      <c r="AE18" s="178"/>
      <c r="AF18" s="178"/>
      <c r="AG18" s="45"/>
      <c r="AH18" s="45"/>
      <c r="AI18" s="142"/>
      <c r="AJ18" s="142"/>
      <c r="AK18" s="45"/>
      <c r="AL18" s="45"/>
      <c r="AM18" s="178"/>
      <c r="AN18" s="178"/>
      <c r="AO18" s="153"/>
      <c r="AP18" s="153"/>
      <c r="AQ18" s="153"/>
      <c r="AR18" s="153"/>
      <c r="AS18" s="153"/>
      <c r="AT18" s="153"/>
      <c r="AU18" s="153"/>
      <c r="AV18" s="153"/>
      <c r="AW18" s="153"/>
      <c r="AX18" s="153"/>
      <c r="AY18" s="153"/>
      <c r="AZ18" s="153"/>
      <c r="BA18" s="153"/>
      <c r="BB18" s="231"/>
      <c r="BC18" s="332"/>
      <c r="BD18" s="333"/>
    </row>
    <row r="19" spans="1:56">
      <c r="A19" s="369"/>
      <c r="B19" s="352"/>
      <c r="C19" s="352"/>
      <c r="D19" s="43">
        <f t="shared" si="3"/>
        <v>6</v>
      </c>
      <c r="E19" s="43">
        <v>0</v>
      </c>
      <c r="F19" s="43" t="s">
        <v>36</v>
      </c>
      <c r="G19" s="43">
        <v>9</v>
      </c>
      <c r="H19" s="224">
        <f t="shared" si="2"/>
        <v>0</v>
      </c>
      <c r="I19" s="43" t="s">
        <v>34</v>
      </c>
      <c r="J19" s="372"/>
      <c r="K19" s="167"/>
      <c r="L19" s="43">
        <v>1.5</v>
      </c>
      <c r="M19" s="43">
        <v>1.5</v>
      </c>
      <c r="N19" s="179"/>
      <c r="O19" s="179"/>
      <c r="P19" s="43">
        <v>1.5</v>
      </c>
      <c r="Q19" s="43">
        <v>1.5</v>
      </c>
      <c r="R19" s="137"/>
      <c r="S19" s="137"/>
      <c r="T19" s="43">
        <v>1.5</v>
      </c>
      <c r="U19" s="43">
        <v>1.5</v>
      </c>
      <c r="V19" s="179"/>
      <c r="W19" s="179"/>
      <c r="X19" s="43"/>
      <c r="Y19" s="43"/>
      <c r="Z19" s="43"/>
      <c r="AA19" s="143"/>
      <c r="AB19" s="143"/>
      <c r="AC19" s="43"/>
      <c r="AD19" s="43"/>
      <c r="AE19" s="179"/>
      <c r="AF19" s="179"/>
      <c r="AG19" s="43"/>
      <c r="AH19" s="43"/>
      <c r="AI19" s="143"/>
      <c r="AJ19" s="143"/>
      <c r="AK19" s="43"/>
      <c r="AL19" s="43"/>
      <c r="AM19" s="179"/>
      <c r="AN19" s="179"/>
      <c r="AO19" s="156"/>
      <c r="AP19" s="156"/>
      <c r="AQ19" s="156"/>
      <c r="AR19" s="156"/>
      <c r="AS19" s="156"/>
      <c r="AT19" s="156"/>
      <c r="AU19" s="156"/>
      <c r="AV19" s="156"/>
      <c r="AW19" s="156"/>
      <c r="AX19" s="156"/>
      <c r="AY19" s="156"/>
      <c r="AZ19" s="156"/>
      <c r="BA19" s="156"/>
      <c r="BB19" s="232"/>
      <c r="BC19" s="334"/>
      <c r="BD19" s="335"/>
    </row>
    <row r="20" spans="1:56">
      <c r="A20" s="369"/>
      <c r="B20" s="352"/>
      <c r="C20" s="352"/>
      <c r="D20" s="43">
        <f t="shared" si="3"/>
        <v>3</v>
      </c>
      <c r="E20" s="43">
        <v>0</v>
      </c>
      <c r="F20" s="43" t="s">
        <v>39</v>
      </c>
      <c r="G20" s="43">
        <v>9</v>
      </c>
      <c r="H20" s="224">
        <f t="shared" si="2"/>
        <v>0</v>
      </c>
      <c r="I20" s="43">
        <v>129</v>
      </c>
      <c r="J20" s="372"/>
      <c r="K20" s="167"/>
      <c r="L20" s="43"/>
      <c r="M20" s="43"/>
      <c r="N20" s="179"/>
      <c r="O20" s="179"/>
      <c r="P20" s="43"/>
      <c r="Q20" s="43"/>
      <c r="R20" s="137"/>
      <c r="S20" s="137"/>
      <c r="T20" s="43"/>
      <c r="U20" s="43"/>
      <c r="V20" s="179">
        <v>3</v>
      </c>
      <c r="W20" s="179">
        <v>3</v>
      </c>
      <c r="X20" s="43">
        <v>3</v>
      </c>
      <c r="Y20" s="43"/>
      <c r="Z20" s="43"/>
      <c r="AA20" s="143"/>
      <c r="AB20" s="143"/>
      <c r="AC20" s="43"/>
      <c r="AD20" s="43"/>
      <c r="AE20" s="179"/>
      <c r="AF20" s="179"/>
      <c r="AG20" s="43"/>
      <c r="AH20" s="43"/>
      <c r="AI20" s="143"/>
      <c r="AJ20" s="143"/>
      <c r="AK20" s="43"/>
      <c r="AL20" s="43"/>
      <c r="AM20" s="179"/>
      <c r="AN20" s="179"/>
      <c r="AO20" s="156"/>
      <c r="AP20" s="156"/>
      <c r="AQ20" s="156"/>
      <c r="AR20" s="156"/>
      <c r="AS20" s="156"/>
      <c r="AT20" s="156"/>
      <c r="AU20" s="156"/>
      <c r="AV20" s="156"/>
      <c r="AW20" s="156"/>
      <c r="AX20" s="156"/>
      <c r="AY20" s="156"/>
      <c r="AZ20" s="156"/>
      <c r="BA20" s="156"/>
      <c r="BB20" s="232"/>
      <c r="BC20" s="334"/>
      <c r="BD20" s="335"/>
    </row>
    <row r="21" spans="1:56">
      <c r="A21" s="369"/>
      <c r="B21" s="352"/>
      <c r="C21" s="352" t="s">
        <v>51</v>
      </c>
      <c r="D21" s="43">
        <f t="shared" si="3"/>
        <v>1</v>
      </c>
      <c r="E21" s="43">
        <v>0</v>
      </c>
      <c r="F21" s="43" t="s">
        <v>33</v>
      </c>
      <c r="G21" s="43">
        <v>1.5</v>
      </c>
      <c r="H21" s="224">
        <f t="shared" si="2"/>
        <v>0</v>
      </c>
      <c r="I21" s="43" t="s">
        <v>34</v>
      </c>
      <c r="J21" s="372"/>
      <c r="K21" s="167"/>
      <c r="L21" s="43">
        <v>1.5</v>
      </c>
      <c r="M21" s="43"/>
      <c r="N21" s="179"/>
      <c r="O21" s="179"/>
      <c r="P21" s="43"/>
      <c r="Q21" s="43"/>
      <c r="R21" s="137"/>
      <c r="S21" s="137"/>
      <c r="T21" s="43"/>
      <c r="U21" s="43"/>
      <c r="V21" s="179"/>
      <c r="W21" s="179"/>
      <c r="X21" s="43"/>
      <c r="Y21" s="43"/>
      <c r="Z21" s="43"/>
      <c r="AA21" s="143"/>
      <c r="AB21" s="143"/>
      <c r="AC21" s="43"/>
      <c r="AD21" s="43"/>
      <c r="AE21" s="179"/>
      <c r="AF21" s="179"/>
      <c r="AG21" s="43"/>
      <c r="AH21" s="43"/>
      <c r="AI21" s="143"/>
      <c r="AJ21" s="143"/>
      <c r="AK21" s="43"/>
      <c r="AL21" s="43"/>
      <c r="AM21" s="179"/>
      <c r="AN21" s="179"/>
      <c r="AO21" s="156"/>
      <c r="AP21" s="156"/>
      <c r="AQ21" s="156"/>
      <c r="AR21" s="156"/>
      <c r="AS21" s="156"/>
      <c r="AT21" s="156"/>
      <c r="AU21" s="156"/>
      <c r="AV21" s="156"/>
      <c r="AW21" s="156"/>
      <c r="AX21" s="156"/>
      <c r="AY21" s="156"/>
      <c r="AZ21" s="156"/>
      <c r="BA21" s="156"/>
      <c r="BB21" s="232"/>
      <c r="BC21" s="334"/>
      <c r="BD21" s="335"/>
    </row>
    <row r="22" spans="1:56">
      <c r="A22" s="369"/>
      <c r="B22" s="352"/>
      <c r="C22" s="352"/>
      <c r="D22" s="43">
        <f t="shared" si="3"/>
        <v>2</v>
      </c>
      <c r="E22" s="43">
        <v>0</v>
      </c>
      <c r="F22" s="43" t="s">
        <v>36</v>
      </c>
      <c r="G22" s="43">
        <v>3</v>
      </c>
      <c r="H22" s="224">
        <f t="shared" si="2"/>
        <v>0</v>
      </c>
      <c r="I22" s="43" t="s">
        <v>34</v>
      </c>
      <c r="J22" s="372"/>
      <c r="K22" s="167"/>
      <c r="L22" s="43">
        <v>1.5</v>
      </c>
      <c r="M22" s="43">
        <v>1.5</v>
      </c>
      <c r="N22" s="179"/>
      <c r="O22" s="179"/>
      <c r="P22" s="43"/>
      <c r="Q22" s="43"/>
      <c r="R22" s="137"/>
      <c r="S22" s="137"/>
      <c r="T22" s="43"/>
      <c r="U22" s="43"/>
      <c r="V22" s="179"/>
      <c r="W22" s="179"/>
      <c r="X22" s="43"/>
      <c r="Y22" s="43"/>
      <c r="Z22" s="43"/>
      <c r="AA22" s="143"/>
      <c r="AB22" s="143"/>
      <c r="AC22" s="43"/>
      <c r="AD22" s="43"/>
      <c r="AE22" s="179"/>
      <c r="AF22" s="179"/>
      <c r="AG22" s="43"/>
      <c r="AH22" s="43"/>
      <c r="AI22" s="143"/>
      <c r="AJ22" s="143"/>
      <c r="AK22" s="43"/>
      <c r="AL22" s="43"/>
      <c r="AM22" s="179"/>
      <c r="AN22" s="179"/>
      <c r="AO22" s="156"/>
      <c r="AP22" s="156"/>
      <c r="AQ22" s="156"/>
      <c r="AR22" s="156"/>
      <c r="AS22" s="156"/>
      <c r="AT22" s="156"/>
      <c r="AU22" s="156"/>
      <c r="AV22" s="156"/>
      <c r="AW22" s="156"/>
      <c r="AX22" s="156"/>
      <c r="AY22" s="156"/>
      <c r="AZ22" s="156"/>
      <c r="BA22" s="156"/>
      <c r="BB22" s="232"/>
      <c r="BC22" s="334"/>
      <c r="BD22" s="335"/>
    </row>
    <row r="23" spans="1:56">
      <c r="A23" s="369"/>
      <c r="B23" s="352"/>
      <c r="C23" s="352"/>
      <c r="D23" s="43">
        <f t="shared" si="3"/>
        <v>3</v>
      </c>
      <c r="E23" s="43">
        <v>0</v>
      </c>
      <c r="F23" s="43" t="s">
        <v>39</v>
      </c>
      <c r="G23" s="43">
        <v>9</v>
      </c>
      <c r="H23" s="224">
        <f t="shared" si="2"/>
        <v>0</v>
      </c>
      <c r="I23" s="43">
        <v>19</v>
      </c>
      <c r="J23" s="372"/>
      <c r="K23" s="167"/>
      <c r="L23" s="43"/>
      <c r="M23" s="43"/>
      <c r="N23" s="179">
        <v>3</v>
      </c>
      <c r="O23" s="179">
        <v>3</v>
      </c>
      <c r="P23" s="43">
        <v>3</v>
      </c>
      <c r="Q23" s="43"/>
      <c r="R23" s="137"/>
      <c r="S23" s="137"/>
      <c r="T23" s="43"/>
      <c r="U23" s="43"/>
      <c r="V23" s="179"/>
      <c r="W23" s="179"/>
      <c r="X23" s="43"/>
      <c r="Y23" s="43"/>
      <c r="Z23" s="43"/>
      <c r="AA23" s="143"/>
      <c r="AB23" s="143"/>
      <c r="AC23" s="43"/>
      <c r="AD23" s="43"/>
      <c r="AE23" s="179"/>
      <c r="AF23" s="179"/>
      <c r="AG23" s="43"/>
      <c r="AH23" s="43"/>
      <c r="AI23" s="143"/>
      <c r="AJ23" s="143"/>
      <c r="AK23" s="43"/>
      <c r="AL23" s="43"/>
      <c r="AM23" s="179"/>
      <c r="AN23" s="179"/>
      <c r="AO23" s="156"/>
      <c r="AP23" s="156"/>
      <c r="AQ23" s="156"/>
      <c r="AR23" s="156"/>
      <c r="AS23" s="156"/>
      <c r="AT23" s="156"/>
      <c r="AU23" s="156"/>
      <c r="AV23" s="156"/>
      <c r="AW23" s="156"/>
      <c r="AX23" s="156"/>
      <c r="AY23" s="156"/>
      <c r="AZ23" s="156"/>
      <c r="BA23" s="156"/>
      <c r="BB23" s="232"/>
      <c r="BC23" s="334"/>
      <c r="BD23" s="335"/>
    </row>
    <row r="24" spans="1:56">
      <c r="A24" s="369"/>
      <c r="B24" s="352"/>
      <c r="C24" s="352" t="s">
        <v>150</v>
      </c>
      <c r="D24" s="43">
        <f t="shared" si="3"/>
        <v>6</v>
      </c>
      <c r="E24" s="43">
        <v>1</v>
      </c>
      <c r="F24" s="43" t="s">
        <v>33</v>
      </c>
      <c r="G24" s="43">
        <v>9</v>
      </c>
      <c r="H24" s="224">
        <f t="shared" si="2"/>
        <v>0</v>
      </c>
      <c r="I24" s="43" t="s">
        <v>34</v>
      </c>
      <c r="J24" s="372" t="s">
        <v>37</v>
      </c>
      <c r="K24" s="167"/>
      <c r="L24" s="43"/>
      <c r="M24" s="43"/>
      <c r="N24" s="179"/>
      <c r="O24" s="179"/>
      <c r="P24" s="43">
        <v>1.5</v>
      </c>
      <c r="Q24" s="43">
        <v>1.5</v>
      </c>
      <c r="R24" s="137"/>
      <c r="S24" s="137"/>
      <c r="T24" s="43">
        <v>1.5</v>
      </c>
      <c r="U24" s="43">
        <v>1.5</v>
      </c>
      <c r="V24" s="179"/>
      <c r="W24" s="179"/>
      <c r="X24" s="43">
        <v>1.5</v>
      </c>
      <c r="Y24" s="43">
        <v>1.5</v>
      </c>
      <c r="Z24" s="43"/>
      <c r="AA24" s="143"/>
      <c r="AB24" s="143"/>
      <c r="AC24" s="43"/>
      <c r="AD24" s="43"/>
      <c r="AE24" s="179"/>
      <c r="AF24" s="179"/>
      <c r="AG24" s="43"/>
      <c r="AH24" s="43"/>
      <c r="AI24" s="143"/>
      <c r="AJ24" s="143"/>
      <c r="AK24" s="43"/>
      <c r="AL24" s="43"/>
      <c r="AM24" s="179"/>
      <c r="AN24" s="179"/>
      <c r="AO24" s="43"/>
      <c r="AP24" s="43"/>
      <c r="AQ24" s="143"/>
      <c r="AR24" s="143"/>
      <c r="AS24" s="43"/>
      <c r="AT24" s="43"/>
      <c r="AU24" s="179"/>
      <c r="AV24" s="179"/>
      <c r="AW24" s="179"/>
      <c r="AX24" s="179"/>
      <c r="AY24" s="43"/>
      <c r="AZ24" s="43"/>
      <c r="BA24" s="179"/>
      <c r="BB24" s="233"/>
      <c r="BC24" s="334"/>
      <c r="BD24" s="335"/>
    </row>
    <row r="25" spans="1:56">
      <c r="A25" s="369"/>
      <c r="B25" s="352"/>
      <c r="C25" s="352"/>
      <c r="D25" s="43">
        <f t="shared" si="3"/>
        <v>6</v>
      </c>
      <c r="E25" s="43">
        <v>1</v>
      </c>
      <c r="F25" s="43" t="s">
        <v>36</v>
      </c>
      <c r="G25" s="43">
        <v>9</v>
      </c>
      <c r="H25" s="224">
        <f t="shared" si="2"/>
        <v>0</v>
      </c>
      <c r="I25" s="43" t="s">
        <v>34</v>
      </c>
      <c r="J25" s="372"/>
      <c r="K25" s="167"/>
      <c r="L25" s="43"/>
      <c r="M25" s="43"/>
      <c r="N25" s="179"/>
      <c r="O25" s="179"/>
      <c r="P25" s="43">
        <v>1.5</v>
      </c>
      <c r="Q25" s="43">
        <v>1.5</v>
      </c>
      <c r="R25" s="137"/>
      <c r="S25" s="137"/>
      <c r="T25" s="43">
        <v>1.5</v>
      </c>
      <c r="U25" s="43">
        <v>1.5</v>
      </c>
      <c r="V25" s="179"/>
      <c r="W25" s="179"/>
      <c r="X25" s="43">
        <v>1.5</v>
      </c>
      <c r="Y25" s="43">
        <v>1.5</v>
      </c>
      <c r="Z25" s="43"/>
      <c r="AA25" s="143"/>
      <c r="AB25" s="143"/>
      <c r="AC25" s="43"/>
      <c r="AD25" s="43"/>
      <c r="AE25" s="179"/>
      <c r="AF25" s="179"/>
      <c r="AG25" s="43"/>
      <c r="AH25" s="43"/>
      <c r="AI25" s="143"/>
      <c r="AJ25" s="143"/>
      <c r="AK25" s="43"/>
      <c r="AL25" s="43"/>
      <c r="AM25" s="179"/>
      <c r="AN25" s="179"/>
      <c r="AO25" s="43"/>
      <c r="AP25" s="43"/>
      <c r="AQ25" s="143"/>
      <c r="AR25" s="143"/>
      <c r="AS25" s="43"/>
      <c r="AT25" s="43"/>
      <c r="AU25" s="179"/>
      <c r="AV25" s="179"/>
      <c r="AW25" s="179"/>
      <c r="AX25" s="179"/>
      <c r="AY25" s="43"/>
      <c r="AZ25" s="43"/>
      <c r="BA25" s="179"/>
      <c r="BB25" s="233"/>
      <c r="BC25" s="334"/>
      <c r="BD25" s="335"/>
    </row>
    <row r="26" spans="1:56">
      <c r="A26" s="369"/>
      <c r="B26" s="352"/>
      <c r="C26" s="352"/>
      <c r="D26" s="43">
        <f t="shared" si="3"/>
        <v>3</v>
      </c>
      <c r="E26" s="43">
        <v>1</v>
      </c>
      <c r="F26" s="43" t="s">
        <v>39</v>
      </c>
      <c r="G26" s="43">
        <v>9</v>
      </c>
      <c r="H26" s="224">
        <f t="shared" si="2"/>
        <v>0</v>
      </c>
      <c r="I26" s="43">
        <v>129</v>
      </c>
      <c r="J26" s="372"/>
      <c r="K26" s="167"/>
      <c r="L26" s="43"/>
      <c r="M26" s="43"/>
      <c r="N26" s="179"/>
      <c r="O26" s="179"/>
      <c r="P26" s="43"/>
      <c r="Q26" s="43"/>
      <c r="R26" s="137"/>
      <c r="S26" s="137"/>
      <c r="T26" s="43"/>
      <c r="U26" s="43"/>
      <c r="V26" s="179"/>
      <c r="W26" s="179"/>
      <c r="X26" s="43"/>
      <c r="Y26" s="43"/>
      <c r="Z26" s="43">
        <v>3</v>
      </c>
      <c r="AA26" s="143"/>
      <c r="AB26" s="143"/>
      <c r="AC26" s="43">
        <v>3</v>
      </c>
      <c r="AD26" s="43">
        <v>3</v>
      </c>
      <c r="AE26" s="179"/>
      <c r="AF26" s="179"/>
      <c r="AG26" s="43"/>
      <c r="AH26" s="43"/>
      <c r="AI26" s="143"/>
      <c r="AJ26" s="143"/>
      <c r="AK26" s="43"/>
      <c r="AL26" s="43"/>
      <c r="AM26" s="179"/>
      <c r="AN26" s="179"/>
      <c r="AO26" s="43"/>
      <c r="AP26" s="43"/>
      <c r="AQ26" s="143"/>
      <c r="AR26" s="143"/>
      <c r="AS26" s="43"/>
      <c r="AT26" s="43"/>
      <c r="AU26" s="179"/>
      <c r="AV26" s="179"/>
      <c r="AW26" s="179"/>
      <c r="AX26" s="179"/>
      <c r="AY26" s="43"/>
      <c r="AZ26" s="43"/>
      <c r="BA26" s="179"/>
      <c r="BB26" s="233"/>
      <c r="BC26" s="334"/>
      <c r="BD26" s="335"/>
    </row>
    <row r="27" spans="1:56">
      <c r="A27" s="369"/>
      <c r="B27" s="352"/>
      <c r="C27" s="352" t="s">
        <v>51</v>
      </c>
      <c r="D27" s="43">
        <f t="shared" si="3"/>
        <v>1</v>
      </c>
      <c r="E27" s="43">
        <v>1</v>
      </c>
      <c r="F27" s="43" t="s">
        <v>33</v>
      </c>
      <c r="G27" s="43">
        <v>1.5</v>
      </c>
      <c r="H27" s="224">
        <f t="shared" si="2"/>
        <v>0</v>
      </c>
      <c r="I27" s="43" t="s">
        <v>34</v>
      </c>
      <c r="J27" s="372"/>
      <c r="K27" s="167"/>
      <c r="L27" s="43">
        <v>1.5</v>
      </c>
      <c r="M27" s="43"/>
      <c r="N27" s="179"/>
      <c r="O27" s="179"/>
      <c r="P27" s="43"/>
      <c r="Q27" s="43"/>
      <c r="R27" s="137"/>
      <c r="S27" s="137"/>
      <c r="T27" s="43"/>
      <c r="U27" s="43"/>
      <c r="V27" s="179"/>
      <c r="W27" s="179"/>
      <c r="X27" s="43"/>
      <c r="Y27" s="43"/>
      <c r="Z27" s="43"/>
      <c r="AA27" s="143"/>
      <c r="AB27" s="143"/>
      <c r="AC27" s="43"/>
      <c r="AD27" s="43"/>
      <c r="AE27" s="179"/>
      <c r="AF27" s="179"/>
      <c r="AG27" s="43"/>
      <c r="AH27" s="43"/>
      <c r="AI27" s="143"/>
      <c r="AJ27" s="143"/>
      <c r="AK27" s="43"/>
      <c r="AL27" s="43"/>
      <c r="AM27" s="179"/>
      <c r="AN27" s="179"/>
      <c r="AO27" s="43"/>
      <c r="AP27" s="43"/>
      <c r="AQ27" s="143"/>
      <c r="AR27" s="143"/>
      <c r="AS27" s="43"/>
      <c r="AT27" s="43"/>
      <c r="AU27" s="179"/>
      <c r="AV27" s="179"/>
      <c r="AW27" s="179"/>
      <c r="AX27" s="179"/>
      <c r="AY27" s="43"/>
      <c r="AZ27" s="43"/>
      <c r="BA27" s="179"/>
      <c r="BB27" s="233"/>
      <c r="BC27" s="334"/>
      <c r="BD27" s="335"/>
    </row>
    <row r="28" spans="1:56">
      <c r="A28" s="369"/>
      <c r="B28" s="352"/>
      <c r="C28" s="352"/>
      <c r="D28" s="43">
        <f t="shared" si="3"/>
        <v>2</v>
      </c>
      <c r="E28" s="43">
        <v>1</v>
      </c>
      <c r="F28" s="43" t="s">
        <v>36</v>
      </c>
      <c r="G28" s="43">
        <v>3</v>
      </c>
      <c r="H28" s="224">
        <f t="shared" si="2"/>
        <v>0</v>
      </c>
      <c r="I28" s="43" t="s">
        <v>34</v>
      </c>
      <c r="J28" s="372"/>
      <c r="K28" s="167"/>
      <c r="L28" s="43"/>
      <c r="M28" s="43">
        <v>1.5</v>
      </c>
      <c r="N28" s="179"/>
      <c r="O28" s="179"/>
      <c r="P28" s="43">
        <v>1.5</v>
      </c>
      <c r="Q28" s="43"/>
      <c r="R28" s="137"/>
      <c r="S28" s="137"/>
      <c r="T28" s="43"/>
      <c r="U28" s="43"/>
      <c r="V28" s="179"/>
      <c r="W28" s="179"/>
      <c r="X28" s="43"/>
      <c r="Y28" s="43"/>
      <c r="Z28" s="43"/>
      <c r="AA28" s="143"/>
      <c r="AB28" s="143"/>
      <c r="AC28" s="43"/>
      <c r="AD28" s="43"/>
      <c r="AE28" s="179"/>
      <c r="AF28" s="179"/>
      <c r="AG28" s="43"/>
      <c r="AH28" s="43"/>
      <c r="AI28" s="143"/>
      <c r="AJ28" s="143"/>
      <c r="AK28" s="43"/>
      <c r="AL28" s="43"/>
      <c r="AM28" s="179"/>
      <c r="AN28" s="179"/>
      <c r="AO28" s="43"/>
      <c r="AP28" s="43"/>
      <c r="AQ28" s="143"/>
      <c r="AR28" s="143"/>
      <c r="AS28" s="43"/>
      <c r="AT28" s="43"/>
      <c r="AU28" s="179"/>
      <c r="AV28" s="179"/>
      <c r="AW28" s="179"/>
      <c r="AX28" s="179"/>
      <c r="AY28" s="43"/>
      <c r="AZ28" s="43"/>
      <c r="BA28" s="179"/>
      <c r="BB28" s="233"/>
      <c r="BC28" s="334"/>
      <c r="BD28" s="335"/>
    </row>
    <row r="29" spans="1:56" ht="15.75" thickBot="1">
      <c r="A29" s="370"/>
      <c r="B29" s="355"/>
      <c r="C29" s="355"/>
      <c r="D29" s="46">
        <f t="shared" si="3"/>
        <v>2</v>
      </c>
      <c r="E29" s="46">
        <v>1</v>
      </c>
      <c r="F29" s="46" t="s">
        <v>39</v>
      </c>
      <c r="G29" s="46">
        <v>9</v>
      </c>
      <c r="H29" s="225">
        <f t="shared" si="2"/>
        <v>0</v>
      </c>
      <c r="I29" s="46">
        <v>19</v>
      </c>
      <c r="J29" s="376"/>
      <c r="K29" s="168"/>
      <c r="L29" s="46"/>
      <c r="M29" s="46"/>
      <c r="N29" s="180"/>
      <c r="O29" s="180"/>
      <c r="P29" s="46"/>
      <c r="Q29" s="46"/>
      <c r="R29" s="138"/>
      <c r="S29" s="138"/>
      <c r="T29" s="46">
        <v>3</v>
      </c>
      <c r="U29" s="46">
        <v>6</v>
      </c>
      <c r="V29" s="180"/>
      <c r="W29" s="180"/>
      <c r="X29" s="46"/>
      <c r="Y29" s="46"/>
      <c r="Z29" s="46"/>
      <c r="AA29" s="144"/>
      <c r="AB29" s="144"/>
      <c r="AC29" s="46"/>
      <c r="AD29" s="46"/>
      <c r="AE29" s="180"/>
      <c r="AF29" s="180"/>
      <c r="AG29" s="46"/>
      <c r="AH29" s="46"/>
      <c r="AI29" s="144"/>
      <c r="AJ29" s="144"/>
      <c r="AK29" s="46"/>
      <c r="AL29" s="46"/>
      <c r="AM29" s="180"/>
      <c r="AN29" s="180"/>
      <c r="AO29" s="46"/>
      <c r="AP29" s="46"/>
      <c r="AQ29" s="144"/>
      <c r="AR29" s="144"/>
      <c r="AS29" s="46"/>
      <c r="AT29" s="46"/>
      <c r="AU29" s="180"/>
      <c r="AV29" s="180"/>
      <c r="AW29" s="180"/>
      <c r="AX29" s="180"/>
      <c r="AY29" s="46"/>
      <c r="AZ29" s="46"/>
      <c r="BA29" s="180"/>
      <c r="BB29" s="235"/>
      <c r="BC29" s="336"/>
      <c r="BD29" s="337"/>
    </row>
    <row r="30" spans="1:56" ht="15.75" thickTop="1">
      <c r="A30" s="368" t="s">
        <v>151</v>
      </c>
      <c r="B30" s="351" t="s">
        <v>152</v>
      </c>
      <c r="C30" s="351" t="s">
        <v>32</v>
      </c>
      <c r="D30" s="45">
        <f t="shared" si="3"/>
        <v>7</v>
      </c>
      <c r="E30" s="45">
        <v>0</v>
      </c>
      <c r="F30" s="45" t="s">
        <v>33</v>
      </c>
      <c r="G30" s="45">
        <v>10.5</v>
      </c>
      <c r="H30" s="223">
        <f t="shared" si="2"/>
        <v>0</v>
      </c>
      <c r="I30" s="45" t="s">
        <v>34</v>
      </c>
      <c r="J30" s="371" t="s">
        <v>35</v>
      </c>
      <c r="K30" s="166"/>
      <c r="L30" s="45">
        <v>1.5</v>
      </c>
      <c r="M30" s="45">
        <v>1.5</v>
      </c>
      <c r="N30" s="178">
        <v>1.5</v>
      </c>
      <c r="O30" s="178">
        <v>1.5</v>
      </c>
      <c r="P30" s="45">
        <v>1.5</v>
      </c>
      <c r="Q30" s="45">
        <v>1.5</v>
      </c>
      <c r="R30" s="136"/>
      <c r="S30" s="136"/>
      <c r="T30" s="45">
        <v>1.5</v>
      </c>
      <c r="U30" s="45"/>
      <c r="V30" s="178"/>
      <c r="W30" s="178"/>
      <c r="X30" s="45"/>
      <c r="Y30" s="45"/>
      <c r="Z30" s="45"/>
      <c r="AA30" s="142"/>
      <c r="AB30" s="142"/>
      <c r="AC30" s="45"/>
      <c r="AD30" s="45"/>
      <c r="AE30" s="178"/>
      <c r="AF30" s="178"/>
      <c r="AG30" s="45"/>
      <c r="AH30" s="45"/>
      <c r="AI30" s="142"/>
      <c r="AJ30" s="142"/>
      <c r="AK30" s="45"/>
      <c r="AL30" s="45"/>
      <c r="AM30" s="178"/>
      <c r="AN30" s="178"/>
      <c r="AO30" s="153"/>
      <c r="AP30" s="153"/>
      <c r="AQ30" s="153"/>
      <c r="AR30" s="153"/>
      <c r="AS30" s="153"/>
      <c r="AT30" s="153"/>
      <c r="AU30" s="153"/>
      <c r="AV30" s="153"/>
      <c r="AW30" s="153"/>
      <c r="AX30" s="153"/>
      <c r="AY30" s="153"/>
      <c r="AZ30" s="153"/>
      <c r="BA30" s="153"/>
      <c r="BB30" s="231"/>
      <c r="BC30" s="326" t="s">
        <v>153</v>
      </c>
      <c r="BD30" s="327"/>
    </row>
    <row r="31" spans="1:56">
      <c r="A31" s="369"/>
      <c r="B31" s="352"/>
      <c r="C31" s="352"/>
      <c r="D31" s="43">
        <f t="shared" si="3"/>
        <v>9</v>
      </c>
      <c r="E31" s="43">
        <v>0</v>
      </c>
      <c r="F31" s="43" t="s">
        <v>36</v>
      </c>
      <c r="G31" s="43">
        <v>16.5</v>
      </c>
      <c r="H31" s="224">
        <f t="shared" si="2"/>
        <v>0</v>
      </c>
      <c r="I31" s="43" t="s">
        <v>34</v>
      </c>
      <c r="J31" s="372"/>
      <c r="K31" s="167"/>
      <c r="L31" s="43">
        <v>1.5</v>
      </c>
      <c r="M31" s="43">
        <v>1.5</v>
      </c>
      <c r="N31" s="179">
        <v>1.5</v>
      </c>
      <c r="O31" s="179">
        <v>1.5</v>
      </c>
      <c r="P31" s="43">
        <v>1.5</v>
      </c>
      <c r="Q31" s="43">
        <v>1.5</v>
      </c>
      <c r="R31" s="137"/>
      <c r="S31" s="137"/>
      <c r="T31" s="43">
        <v>1.5</v>
      </c>
      <c r="U31" s="43">
        <v>3</v>
      </c>
      <c r="V31" s="179">
        <v>3</v>
      </c>
      <c r="W31" s="179"/>
      <c r="X31" s="43"/>
      <c r="Y31" s="43"/>
      <c r="Z31" s="43"/>
      <c r="AA31" s="143"/>
      <c r="AB31" s="143"/>
      <c r="AC31" s="43"/>
      <c r="AD31" s="43"/>
      <c r="AE31" s="179"/>
      <c r="AF31" s="179"/>
      <c r="AG31" s="43"/>
      <c r="AH31" s="43"/>
      <c r="AI31" s="143"/>
      <c r="AJ31" s="143"/>
      <c r="AK31" s="43"/>
      <c r="AL31" s="43"/>
      <c r="AM31" s="179"/>
      <c r="AN31" s="179"/>
      <c r="AO31" s="156"/>
      <c r="AP31" s="156"/>
      <c r="AQ31" s="156"/>
      <c r="AR31" s="156"/>
      <c r="AS31" s="156"/>
      <c r="AT31" s="156"/>
      <c r="AU31" s="156"/>
      <c r="AV31" s="156"/>
      <c r="AW31" s="156"/>
      <c r="AX31" s="156"/>
      <c r="AY31" s="156"/>
      <c r="AZ31" s="156"/>
      <c r="BA31" s="156"/>
      <c r="BB31" s="232"/>
      <c r="BC31" s="328"/>
      <c r="BD31" s="329"/>
    </row>
    <row r="32" spans="1:56">
      <c r="A32" s="369"/>
      <c r="B32" s="352"/>
      <c r="C32" s="352"/>
      <c r="D32" s="43">
        <f t="shared" si="3"/>
        <v>4</v>
      </c>
      <c r="E32" s="43">
        <v>0</v>
      </c>
      <c r="F32" s="43" t="s">
        <v>39</v>
      </c>
      <c r="G32" s="43">
        <v>12</v>
      </c>
      <c r="H32" s="224">
        <f t="shared" si="2"/>
        <v>0</v>
      </c>
      <c r="I32" s="43">
        <v>126</v>
      </c>
      <c r="J32" s="372"/>
      <c r="K32" s="167"/>
      <c r="L32" s="43"/>
      <c r="M32" s="43"/>
      <c r="N32" s="179"/>
      <c r="O32" s="179"/>
      <c r="P32" s="43"/>
      <c r="Q32" s="43"/>
      <c r="R32" s="137"/>
      <c r="S32" s="137"/>
      <c r="T32" s="43"/>
      <c r="U32" s="43"/>
      <c r="V32" s="179"/>
      <c r="W32" s="179">
        <v>3</v>
      </c>
      <c r="X32" s="43">
        <v>3</v>
      </c>
      <c r="Y32" s="43">
        <v>3</v>
      </c>
      <c r="Z32" s="43">
        <v>3</v>
      </c>
      <c r="AA32" s="143"/>
      <c r="AB32" s="143"/>
      <c r="AC32" s="43"/>
      <c r="AD32" s="43"/>
      <c r="AE32" s="179"/>
      <c r="AF32" s="179"/>
      <c r="AG32" s="43"/>
      <c r="AH32" s="43"/>
      <c r="AI32" s="143"/>
      <c r="AJ32" s="143"/>
      <c r="AK32" s="43"/>
      <c r="AL32" s="43"/>
      <c r="AM32" s="179"/>
      <c r="AN32" s="179"/>
      <c r="AO32" s="156"/>
      <c r="AP32" s="156"/>
      <c r="AQ32" s="156"/>
      <c r="AR32" s="156"/>
      <c r="AS32" s="156"/>
      <c r="AT32" s="156"/>
      <c r="AU32" s="156"/>
      <c r="AV32" s="156"/>
      <c r="AW32" s="156"/>
      <c r="AX32" s="156"/>
      <c r="AY32" s="156"/>
      <c r="AZ32" s="156"/>
      <c r="BA32" s="156"/>
      <c r="BB32" s="232"/>
      <c r="BC32" s="328"/>
      <c r="BD32" s="329"/>
    </row>
    <row r="33" spans="1:56">
      <c r="A33" s="369"/>
      <c r="B33" s="352"/>
      <c r="C33" s="352"/>
      <c r="D33" s="43">
        <f t="shared" si="3"/>
        <v>7</v>
      </c>
      <c r="E33" s="43">
        <v>1</v>
      </c>
      <c r="F33" s="43" t="s">
        <v>33</v>
      </c>
      <c r="G33" s="43">
        <v>10.5</v>
      </c>
      <c r="H33" s="224">
        <f t="shared" si="2"/>
        <v>0</v>
      </c>
      <c r="I33" s="43" t="s">
        <v>34</v>
      </c>
      <c r="J33" s="372" t="s">
        <v>37</v>
      </c>
      <c r="K33" s="167"/>
      <c r="L33" s="43">
        <v>1.5</v>
      </c>
      <c r="M33" s="43">
        <v>1.5</v>
      </c>
      <c r="N33" s="179"/>
      <c r="O33" s="179"/>
      <c r="P33" s="43">
        <v>1.5</v>
      </c>
      <c r="Q33" s="43">
        <v>1.5</v>
      </c>
      <c r="R33" s="137"/>
      <c r="S33" s="137"/>
      <c r="T33" s="43">
        <v>1.5</v>
      </c>
      <c r="U33" s="43">
        <v>1.5</v>
      </c>
      <c r="V33" s="179"/>
      <c r="W33" s="179"/>
      <c r="X33" s="43">
        <v>1.5</v>
      </c>
      <c r="Y33" s="43"/>
      <c r="Z33" s="43"/>
      <c r="AA33" s="143"/>
      <c r="AB33" s="143"/>
      <c r="AC33" s="43"/>
      <c r="AD33" s="43"/>
      <c r="AE33" s="179"/>
      <c r="AF33" s="179"/>
      <c r="AG33" s="43"/>
      <c r="AH33" s="43"/>
      <c r="AI33" s="143"/>
      <c r="AJ33" s="143"/>
      <c r="AK33" s="43"/>
      <c r="AL33" s="43"/>
      <c r="AM33" s="179"/>
      <c r="AN33" s="179"/>
      <c r="AO33" s="43"/>
      <c r="AP33" s="43"/>
      <c r="AQ33" s="143"/>
      <c r="AR33" s="143"/>
      <c r="AS33" s="43"/>
      <c r="AT33" s="43"/>
      <c r="AU33" s="179"/>
      <c r="AV33" s="179"/>
      <c r="AW33" s="179"/>
      <c r="AX33" s="179"/>
      <c r="AY33" s="43"/>
      <c r="AZ33" s="43"/>
      <c r="BA33" s="179"/>
      <c r="BB33" s="233"/>
      <c r="BC33" s="328"/>
      <c r="BD33" s="329"/>
    </row>
    <row r="34" spans="1:56">
      <c r="A34" s="369"/>
      <c r="B34" s="352"/>
      <c r="C34" s="352"/>
      <c r="D34" s="43">
        <f t="shared" si="3"/>
        <v>8</v>
      </c>
      <c r="E34" s="43">
        <v>1</v>
      </c>
      <c r="F34" s="43" t="s">
        <v>36</v>
      </c>
      <c r="G34" s="43">
        <v>16.5</v>
      </c>
      <c r="H34" s="224">
        <f t="shared" si="2"/>
        <v>0</v>
      </c>
      <c r="I34" s="43" t="s">
        <v>34</v>
      </c>
      <c r="J34" s="372"/>
      <c r="K34" s="167"/>
      <c r="L34" s="43">
        <v>3</v>
      </c>
      <c r="M34" s="43">
        <v>3</v>
      </c>
      <c r="N34" s="179"/>
      <c r="O34" s="179"/>
      <c r="P34" s="43">
        <v>1.5</v>
      </c>
      <c r="Q34" s="43">
        <v>1.5</v>
      </c>
      <c r="R34" s="137"/>
      <c r="S34" s="137"/>
      <c r="T34" s="43">
        <v>1.5</v>
      </c>
      <c r="U34" s="43">
        <v>1.5</v>
      </c>
      <c r="V34" s="179"/>
      <c r="W34" s="179"/>
      <c r="X34" s="43">
        <v>1.5</v>
      </c>
      <c r="Y34" s="43">
        <v>3</v>
      </c>
      <c r="Z34" s="43"/>
      <c r="AA34" s="143"/>
      <c r="AB34" s="143"/>
      <c r="AC34" s="43"/>
      <c r="AD34" s="43"/>
      <c r="AE34" s="179"/>
      <c r="AF34" s="179"/>
      <c r="AG34" s="43"/>
      <c r="AH34" s="43"/>
      <c r="AI34" s="143"/>
      <c r="AJ34" s="143"/>
      <c r="AK34" s="43"/>
      <c r="AL34" s="43"/>
      <c r="AM34" s="179"/>
      <c r="AN34" s="179"/>
      <c r="AO34" s="43"/>
      <c r="AP34" s="43"/>
      <c r="AQ34" s="143"/>
      <c r="AR34" s="143"/>
      <c r="AS34" s="43"/>
      <c r="AT34" s="43"/>
      <c r="AU34" s="179"/>
      <c r="AV34" s="179"/>
      <c r="AW34" s="179"/>
      <c r="AX34" s="179"/>
      <c r="AY34" s="43"/>
      <c r="AZ34" s="43"/>
      <c r="BA34" s="179"/>
      <c r="BB34" s="233"/>
      <c r="BC34" s="328"/>
      <c r="BD34" s="329"/>
    </row>
    <row r="35" spans="1:56" ht="15.75" thickBot="1">
      <c r="A35" s="370"/>
      <c r="B35" s="355"/>
      <c r="C35" s="355"/>
      <c r="D35" s="46">
        <f t="shared" si="3"/>
        <v>3</v>
      </c>
      <c r="E35" s="46">
        <v>1</v>
      </c>
      <c r="F35" s="46" t="s">
        <v>39</v>
      </c>
      <c r="G35" s="46">
        <v>12</v>
      </c>
      <c r="H35" s="225">
        <f t="shared" si="2"/>
        <v>0</v>
      </c>
      <c r="I35" s="46">
        <v>126</v>
      </c>
      <c r="J35" s="376"/>
      <c r="K35" s="168"/>
      <c r="L35" s="46"/>
      <c r="M35" s="46"/>
      <c r="N35" s="180"/>
      <c r="O35" s="180"/>
      <c r="P35" s="46"/>
      <c r="Q35" s="46"/>
      <c r="R35" s="138"/>
      <c r="S35" s="138"/>
      <c r="T35" s="46"/>
      <c r="U35" s="46"/>
      <c r="V35" s="180"/>
      <c r="W35" s="180"/>
      <c r="X35" s="46"/>
      <c r="Y35" s="46"/>
      <c r="Z35" s="46">
        <v>3</v>
      </c>
      <c r="AA35" s="144"/>
      <c r="AB35" s="144"/>
      <c r="AC35" s="46">
        <v>6</v>
      </c>
      <c r="AD35" s="46">
        <v>3</v>
      </c>
      <c r="AE35" s="180"/>
      <c r="AF35" s="180"/>
      <c r="AG35" s="46"/>
      <c r="AH35" s="46"/>
      <c r="AI35" s="144"/>
      <c r="AJ35" s="144"/>
      <c r="AK35" s="46"/>
      <c r="AL35" s="46"/>
      <c r="AM35" s="180"/>
      <c r="AN35" s="180"/>
      <c r="AO35" s="46"/>
      <c r="AP35" s="46"/>
      <c r="AQ35" s="144"/>
      <c r="AR35" s="144"/>
      <c r="AS35" s="46"/>
      <c r="AT35" s="46"/>
      <c r="AU35" s="180"/>
      <c r="AV35" s="180"/>
      <c r="AW35" s="180"/>
      <c r="AX35" s="180"/>
      <c r="AY35" s="46"/>
      <c r="AZ35" s="46"/>
      <c r="BA35" s="180"/>
      <c r="BB35" s="235"/>
      <c r="BC35" s="330"/>
      <c r="BD35" s="331"/>
    </row>
    <row r="36" spans="1:56" ht="15.75" thickTop="1">
      <c r="A36" s="368" t="s">
        <v>154</v>
      </c>
      <c r="B36" s="351" t="s">
        <v>155</v>
      </c>
      <c r="C36" s="351" t="s">
        <v>156</v>
      </c>
      <c r="D36" s="45">
        <f t="shared" si="3"/>
        <v>7</v>
      </c>
      <c r="E36" s="45">
        <v>0</v>
      </c>
      <c r="F36" s="45" t="s">
        <v>33</v>
      </c>
      <c r="G36" s="45">
        <v>13.5</v>
      </c>
      <c r="H36" s="223">
        <f t="shared" si="2"/>
        <v>0</v>
      </c>
      <c r="I36" s="45" t="s">
        <v>34</v>
      </c>
      <c r="J36" s="371" t="s">
        <v>35</v>
      </c>
      <c r="K36" s="166"/>
      <c r="L36" s="45"/>
      <c r="M36" s="45"/>
      <c r="N36" s="178"/>
      <c r="O36" s="178"/>
      <c r="P36" s="45">
        <v>1.5</v>
      </c>
      <c r="Q36" s="45"/>
      <c r="R36" s="136"/>
      <c r="S36" s="136"/>
      <c r="T36" s="45"/>
      <c r="U36" s="45"/>
      <c r="V36" s="178">
        <v>1.5</v>
      </c>
      <c r="W36" s="178">
        <v>1.5</v>
      </c>
      <c r="X36" s="45">
        <v>1.5</v>
      </c>
      <c r="Y36" s="45"/>
      <c r="Z36" s="45">
        <v>1.5</v>
      </c>
      <c r="AA36" s="142"/>
      <c r="AB36" s="142"/>
      <c r="AC36" s="45">
        <v>3</v>
      </c>
      <c r="AD36" s="45">
        <v>3</v>
      </c>
      <c r="AE36" s="178"/>
      <c r="AF36" s="178"/>
      <c r="AG36" s="45"/>
      <c r="AH36" s="45"/>
      <c r="AI36" s="142"/>
      <c r="AJ36" s="142"/>
      <c r="AK36" s="45"/>
      <c r="AL36" s="45"/>
      <c r="AM36" s="178"/>
      <c r="AN36" s="178"/>
      <c r="AO36" s="153"/>
      <c r="AP36" s="153"/>
      <c r="AQ36" s="153"/>
      <c r="AR36" s="153"/>
      <c r="AS36" s="153"/>
      <c r="AT36" s="153"/>
      <c r="AU36" s="153"/>
      <c r="AV36" s="153"/>
      <c r="AW36" s="153"/>
      <c r="AX36" s="153"/>
      <c r="AY36" s="153"/>
      <c r="AZ36" s="153"/>
      <c r="BA36" s="153"/>
      <c r="BB36" s="231"/>
      <c r="BC36" s="332"/>
      <c r="BD36" s="333"/>
    </row>
    <row r="37" spans="1:56">
      <c r="A37" s="369"/>
      <c r="B37" s="352"/>
      <c r="C37" s="352"/>
      <c r="D37" s="43">
        <f t="shared" si="3"/>
        <v>7</v>
      </c>
      <c r="E37" s="43">
        <v>0</v>
      </c>
      <c r="F37" s="43" t="s">
        <v>36</v>
      </c>
      <c r="G37" s="43">
        <v>13.5</v>
      </c>
      <c r="H37" s="224">
        <f t="shared" si="2"/>
        <v>0</v>
      </c>
      <c r="I37" s="43" t="s">
        <v>34</v>
      </c>
      <c r="J37" s="372"/>
      <c r="K37" s="167"/>
      <c r="L37" s="43"/>
      <c r="M37" s="43"/>
      <c r="N37" s="179"/>
      <c r="O37" s="179"/>
      <c r="P37" s="43">
        <v>1.5</v>
      </c>
      <c r="Q37" s="43">
        <v>1.5</v>
      </c>
      <c r="R37" s="137"/>
      <c r="S37" s="137"/>
      <c r="T37" s="43">
        <v>1.5</v>
      </c>
      <c r="U37" s="43">
        <v>1.5</v>
      </c>
      <c r="V37" s="179"/>
      <c r="W37" s="179"/>
      <c r="X37" s="43"/>
      <c r="Y37" s="43">
        <v>1.5</v>
      </c>
      <c r="Z37" s="43"/>
      <c r="AA37" s="143"/>
      <c r="AB37" s="143"/>
      <c r="AC37" s="43">
        <v>3</v>
      </c>
      <c r="AD37" s="43">
        <v>3</v>
      </c>
      <c r="AE37" s="179"/>
      <c r="AF37" s="179"/>
      <c r="AG37" s="43"/>
      <c r="AH37" s="43"/>
      <c r="AI37" s="143"/>
      <c r="AJ37" s="143"/>
      <c r="AK37" s="43"/>
      <c r="AL37" s="43"/>
      <c r="AM37" s="179"/>
      <c r="AN37" s="179"/>
      <c r="AO37" s="156"/>
      <c r="AP37" s="156"/>
      <c r="AQ37" s="156"/>
      <c r="AR37" s="156"/>
      <c r="AS37" s="156"/>
      <c r="AT37" s="156"/>
      <c r="AU37" s="156"/>
      <c r="AV37" s="156"/>
      <c r="AW37" s="156"/>
      <c r="AX37" s="156"/>
      <c r="AY37" s="156"/>
      <c r="AZ37" s="156"/>
      <c r="BA37" s="156"/>
      <c r="BB37" s="232"/>
      <c r="BC37" s="334"/>
      <c r="BD37" s="335"/>
    </row>
    <row r="38" spans="1:56">
      <c r="A38" s="369"/>
      <c r="B38" s="352"/>
      <c r="C38" s="352"/>
      <c r="D38" s="43">
        <f t="shared" si="3"/>
        <v>0</v>
      </c>
      <c r="E38" s="43">
        <v>0</v>
      </c>
      <c r="F38" s="43" t="s">
        <v>39</v>
      </c>
      <c r="G38" s="43">
        <v>0</v>
      </c>
      <c r="H38" s="224">
        <f t="shared" si="2"/>
        <v>0</v>
      </c>
      <c r="I38" s="43" t="s">
        <v>34</v>
      </c>
      <c r="J38" s="372"/>
      <c r="K38" s="167"/>
      <c r="L38" s="43"/>
      <c r="M38" s="43"/>
      <c r="N38" s="179"/>
      <c r="O38" s="179"/>
      <c r="P38" s="43" t="s">
        <v>157</v>
      </c>
      <c r="Q38" s="43"/>
      <c r="R38" s="137"/>
      <c r="S38" s="137"/>
      <c r="T38" s="43"/>
      <c r="U38" s="43"/>
      <c r="V38" s="179"/>
      <c r="W38" s="179"/>
      <c r="X38" s="43"/>
      <c r="Y38" s="43"/>
      <c r="Z38" s="43"/>
      <c r="AA38" s="143"/>
      <c r="AB38" s="143"/>
      <c r="AC38" s="43"/>
      <c r="AD38" s="43"/>
      <c r="AE38" s="179"/>
      <c r="AF38" s="179"/>
      <c r="AG38" s="43"/>
      <c r="AH38" s="43"/>
      <c r="AI38" s="143"/>
      <c r="AJ38" s="143"/>
      <c r="AK38" s="43"/>
      <c r="AL38" s="43"/>
      <c r="AM38" s="179"/>
      <c r="AN38" s="179"/>
      <c r="AO38" s="156"/>
      <c r="AP38" s="156"/>
      <c r="AQ38" s="156"/>
      <c r="AR38" s="156"/>
      <c r="AS38" s="156"/>
      <c r="AT38" s="156"/>
      <c r="AU38" s="156"/>
      <c r="AV38" s="156"/>
      <c r="AW38" s="156"/>
      <c r="AX38" s="156"/>
      <c r="AY38" s="156"/>
      <c r="AZ38" s="156"/>
      <c r="BA38" s="156"/>
      <c r="BB38" s="232"/>
      <c r="BC38" s="334"/>
      <c r="BD38" s="335"/>
    </row>
    <row r="39" spans="1:56">
      <c r="A39" s="369"/>
      <c r="B39" s="352"/>
      <c r="C39" s="352"/>
      <c r="D39" s="43">
        <f t="shared" si="3"/>
        <v>8</v>
      </c>
      <c r="E39" s="43">
        <v>1</v>
      </c>
      <c r="F39" s="43" t="s">
        <v>33</v>
      </c>
      <c r="G39" s="43">
        <v>13.5</v>
      </c>
      <c r="H39" s="224">
        <f t="shared" si="2"/>
        <v>1</v>
      </c>
      <c r="I39" s="43" t="s">
        <v>34</v>
      </c>
      <c r="J39" s="372" t="s">
        <v>37</v>
      </c>
      <c r="K39" s="167"/>
      <c r="L39" s="43">
        <v>1.5</v>
      </c>
      <c r="M39" s="43">
        <v>1.5</v>
      </c>
      <c r="N39" s="179"/>
      <c r="O39" s="179"/>
      <c r="P39" s="43">
        <v>1.5</v>
      </c>
      <c r="Q39" s="43">
        <v>1.5</v>
      </c>
      <c r="R39" s="137"/>
      <c r="S39" s="137"/>
      <c r="T39" s="43">
        <v>1.5</v>
      </c>
      <c r="U39" s="43">
        <v>1.5</v>
      </c>
      <c r="V39" s="179"/>
      <c r="W39" s="179"/>
      <c r="X39" s="43">
        <v>1.5</v>
      </c>
      <c r="Y39" s="43">
        <v>2</v>
      </c>
      <c r="Z39" s="43"/>
      <c r="AA39" s="143"/>
      <c r="AB39" s="143"/>
      <c r="AC39" s="43"/>
      <c r="AD39" s="43"/>
      <c r="AE39" s="179"/>
      <c r="AF39" s="179"/>
      <c r="AG39" s="43"/>
      <c r="AH39" s="43"/>
      <c r="AI39" s="143"/>
      <c r="AJ39" s="143"/>
      <c r="AK39" s="43"/>
      <c r="AL39" s="43"/>
      <c r="AM39" s="179"/>
      <c r="AN39" s="179"/>
      <c r="AO39" s="43"/>
      <c r="AP39" s="43"/>
      <c r="AQ39" s="143"/>
      <c r="AR39" s="143"/>
      <c r="AS39" s="43"/>
      <c r="AT39" s="43"/>
      <c r="AU39" s="179"/>
      <c r="AV39" s="179"/>
      <c r="AW39" s="179"/>
      <c r="AX39" s="179"/>
      <c r="AY39" s="43"/>
      <c r="AZ39" s="43"/>
      <c r="BA39" s="179"/>
      <c r="BB39" s="233"/>
      <c r="BC39" s="334"/>
      <c r="BD39" s="335"/>
    </row>
    <row r="40" spans="1:56">
      <c r="A40" s="369"/>
      <c r="B40" s="352"/>
      <c r="C40" s="352"/>
      <c r="D40" s="43">
        <f t="shared" si="3"/>
        <v>8</v>
      </c>
      <c r="E40" s="43">
        <v>1</v>
      </c>
      <c r="F40" s="43" t="s">
        <v>36</v>
      </c>
      <c r="G40" s="43">
        <v>13.5</v>
      </c>
      <c r="H40" s="224">
        <f t="shared" si="2"/>
        <v>1</v>
      </c>
      <c r="I40" s="43" t="s">
        <v>34</v>
      </c>
      <c r="J40" s="372"/>
      <c r="K40" s="167"/>
      <c r="L40" s="43">
        <v>1.5</v>
      </c>
      <c r="M40" s="43">
        <v>1.5</v>
      </c>
      <c r="N40" s="179"/>
      <c r="O40" s="179"/>
      <c r="P40" s="43">
        <v>1.5</v>
      </c>
      <c r="Q40" s="43">
        <v>1.5</v>
      </c>
      <c r="R40" s="137"/>
      <c r="S40" s="137"/>
      <c r="T40" s="43">
        <v>1.5</v>
      </c>
      <c r="U40" s="43">
        <v>1.5</v>
      </c>
      <c r="V40" s="179"/>
      <c r="W40" s="179"/>
      <c r="X40" s="43">
        <v>1.5</v>
      </c>
      <c r="Y40" s="43">
        <v>2</v>
      </c>
      <c r="Z40" s="43"/>
      <c r="AA40" s="143"/>
      <c r="AB40" s="143"/>
      <c r="AC40" s="43"/>
      <c r="AD40" s="43"/>
      <c r="AE40" s="179"/>
      <c r="AF40" s="179"/>
      <c r="AG40" s="43"/>
      <c r="AH40" s="43"/>
      <c r="AI40" s="143"/>
      <c r="AJ40" s="143"/>
      <c r="AK40" s="43"/>
      <c r="AL40" s="43"/>
      <c r="AM40" s="179"/>
      <c r="AN40" s="179"/>
      <c r="AO40" s="43"/>
      <c r="AP40" s="43"/>
      <c r="AQ40" s="143"/>
      <c r="AR40" s="143"/>
      <c r="AS40" s="43"/>
      <c r="AT40" s="43"/>
      <c r="AU40" s="179"/>
      <c r="AV40" s="179"/>
      <c r="AW40" s="179"/>
      <c r="AX40" s="179"/>
      <c r="AY40" s="43"/>
      <c r="AZ40" s="43"/>
      <c r="BA40" s="179"/>
      <c r="BB40" s="233"/>
      <c r="BC40" s="334"/>
      <c r="BD40" s="335"/>
    </row>
    <row r="41" spans="1:56" ht="15.75" thickBot="1">
      <c r="A41" s="370"/>
      <c r="B41" s="355"/>
      <c r="C41" s="355"/>
      <c r="D41" s="46">
        <f t="shared" si="3"/>
        <v>0</v>
      </c>
      <c r="E41" s="46">
        <v>1</v>
      </c>
      <c r="F41" s="46" t="s">
        <v>39</v>
      </c>
      <c r="G41" s="46">
        <v>0</v>
      </c>
      <c r="H41" s="225">
        <f t="shared" si="2"/>
        <v>0</v>
      </c>
      <c r="I41" s="46" t="s">
        <v>34</v>
      </c>
      <c r="J41" s="376"/>
      <c r="K41" s="168"/>
      <c r="L41" s="46"/>
      <c r="M41" s="46"/>
      <c r="N41" s="180"/>
      <c r="O41" s="180"/>
      <c r="P41" s="46"/>
      <c r="Q41" s="46"/>
      <c r="R41" s="138"/>
      <c r="S41" s="138"/>
      <c r="T41" s="46"/>
      <c r="U41" s="46"/>
      <c r="V41" s="180"/>
      <c r="W41" s="180"/>
      <c r="X41" s="46"/>
      <c r="Y41" s="46"/>
      <c r="Z41" s="46"/>
      <c r="AA41" s="144"/>
      <c r="AB41" s="144"/>
      <c r="AC41" s="46"/>
      <c r="AD41" s="46"/>
      <c r="AE41" s="180"/>
      <c r="AF41" s="180"/>
      <c r="AG41" s="46"/>
      <c r="AH41" s="46"/>
      <c r="AI41" s="144"/>
      <c r="AJ41" s="144"/>
      <c r="AK41" s="46"/>
      <c r="AL41" s="46"/>
      <c r="AM41" s="180"/>
      <c r="AN41" s="180"/>
      <c r="AO41" s="46"/>
      <c r="AP41" s="46"/>
      <c r="AQ41" s="144"/>
      <c r="AR41" s="144"/>
      <c r="AS41" s="46"/>
      <c r="AT41" s="46"/>
      <c r="AU41" s="180"/>
      <c r="AV41" s="180"/>
      <c r="AW41" s="180"/>
      <c r="AX41" s="180"/>
      <c r="AY41" s="46"/>
      <c r="AZ41" s="46"/>
      <c r="BA41" s="180"/>
      <c r="BB41" s="235"/>
      <c r="BC41" s="336"/>
      <c r="BD41" s="337"/>
    </row>
    <row r="42" spans="1:56" ht="15.75" thickTop="1">
      <c r="A42" s="368" t="s">
        <v>158</v>
      </c>
      <c r="B42" s="351" t="s">
        <v>159</v>
      </c>
      <c r="C42" s="351" t="s">
        <v>51</v>
      </c>
      <c r="D42" s="45">
        <f t="shared" si="3"/>
        <v>5</v>
      </c>
      <c r="E42" s="45">
        <v>0</v>
      </c>
      <c r="F42" s="45" t="s">
        <v>33</v>
      </c>
      <c r="G42" s="45">
        <v>7.5</v>
      </c>
      <c r="H42" s="223">
        <f t="shared" si="2"/>
        <v>0</v>
      </c>
      <c r="I42" s="45" t="s">
        <v>34</v>
      </c>
      <c r="J42" s="371" t="s">
        <v>35</v>
      </c>
      <c r="K42" s="166"/>
      <c r="L42" s="45"/>
      <c r="M42" s="45"/>
      <c r="N42" s="178"/>
      <c r="O42" s="178"/>
      <c r="P42" s="45"/>
      <c r="Q42" s="45">
        <v>1.5</v>
      </c>
      <c r="R42" s="136"/>
      <c r="S42" s="136"/>
      <c r="T42" s="45">
        <v>1.5</v>
      </c>
      <c r="U42" s="45">
        <v>1.5</v>
      </c>
      <c r="V42" s="178">
        <v>1.5</v>
      </c>
      <c r="W42" s="178">
        <v>1.5</v>
      </c>
      <c r="X42" s="45"/>
      <c r="Y42" s="45"/>
      <c r="Z42" s="45"/>
      <c r="AA42" s="142"/>
      <c r="AB42" s="142"/>
      <c r="AC42" s="45"/>
      <c r="AD42" s="45"/>
      <c r="AE42" s="178"/>
      <c r="AF42" s="178"/>
      <c r="AG42" s="45"/>
      <c r="AH42" s="45"/>
      <c r="AI42" s="142"/>
      <c r="AJ42" s="142"/>
      <c r="AK42" s="45"/>
      <c r="AL42" s="45"/>
      <c r="AM42" s="178"/>
      <c r="AN42" s="178"/>
      <c r="AO42" s="153"/>
      <c r="AP42" s="153"/>
      <c r="AQ42" s="153"/>
      <c r="AR42" s="153"/>
      <c r="AS42" s="153"/>
      <c r="AT42" s="153"/>
      <c r="AU42" s="153"/>
      <c r="AV42" s="153"/>
      <c r="AW42" s="153"/>
      <c r="AX42" s="153"/>
      <c r="AY42" s="153"/>
      <c r="AZ42" s="153"/>
      <c r="BA42" s="153"/>
      <c r="BB42" s="231"/>
      <c r="BC42" s="332"/>
      <c r="BD42" s="333"/>
    </row>
    <row r="43" spans="1:56">
      <c r="A43" s="369"/>
      <c r="B43" s="352"/>
      <c r="C43" s="352"/>
      <c r="D43" s="43">
        <f t="shared" si="3"/>
        <v>5</v>
      </c>
      <c r="E43" s="43">
        <v>0</v>
      </c>
      <c r="F43" s="43" t="s">
        <v>36</v>
      </c>
      <c r="G43" s="43">
        <v>7.5</v>
      </c>
      <c r="H43" s="224">
        <f t="shared" si="2"/>
        <v>0</v>
      </c>
      <c r="I43" s="43" t="s">
        <v>34</v>
      </c>
      <c r="J43" s="372"/>
      <c r="K43" s="167"/>
      <c r="L43" s="43"/>
      <c r="M43" s="43"/>
      <c r="N43" s="179"/>
      <c r="O43" s="179"/>
      <c r="P43" s="43"/>
      <c r="Q43" s="43">
        <v>1.5</v>
      </c>
      <c r="R43" s="137"/>
      <c r="S43" s="137"/>
      <c r="T43" s="43">
        <v>1.5</v>
      </c>
      <c r="U43" s="43">
        <v>1.5</v>
      </c>
      <c r="V43" s="179">
        <v>1.5</v>
      </c>
      <c r="W43" s="179">
        <v>1.5</v>
      </c>
      <c r="X43" s="43"/>
      <c r="Y43" s="43"/>
      <c r="Z43" s="43"/>
      <c r="AA43" s="143"/>
      <c r="AB43" s="143"/>
      <c r="AC43" s="43"/>
      <c r="AD43" s="43"/>
      <c r="AE43" s="179"/>
      <c r="AF43" s="179"/>
      <c r="AG43" s="43"/>
      <c r="AH43" s="43"/>
      <c r="AI43" s="143"/>
      <c r="AJ43" s="143"/>
      <c r="AK43" s="43"/>
      <c r="AL43" s="43"/>
      <c r="AM43" s="179"/>
      <c r="AN43" s="179"/>
      <c r="AO43" s="156"/>
      <c r="AP43" s="156"/>
      <c r="AQ43" s="156"/>
      <c r="AR43" s="156"/>
      <c r="AS43" s="156"/>
      <c r="AT43" s="156"/>
      <c r="AU43" s="156"/>
      <c r="AV43" s="156"/>
      <c r="AW43" s="156"/>
      <c r="AX43" s="156"/>
      <c r="AY43" s="156"/>
      <c r="AZ43" s="156"/>
      <c r="BA43" s="156"/>
      <c r="BB43" s="232"/>
      <c r="BC43" s="334"/>
      <c r="BD43" s="335"/>
    </row>
    <row r="44" spans="1:56">
      <c r="A44" s="369"/>
      <c r="B44" s="352"/>
      <c r="C44" s="352"/>
      <c r="D44" s="43">
        <f t="shared" si="3"/>
        <v>4</v>
      </c>
      <c r="E44" s="43">
        <v>0</v>
      </c>
      <c r="F44" s="43" t="s">
        <v>39</v>
      </c>
      <c r="G44" s="43">
        <v>12</v>
      </c>
      <c r="H44" s="224">
        <f t="shared" si="2"/>
        <v>0</v>
      </c>
      <c r="I44" s="43" t="s">
        <v>160</v>
      </c>
      <c r="J44" s="372"/>
      <c r="K44" s="167"/>
      <c r="L44" s="43"/>
      <c r="M44" s="43"/>
      <c r="N44" s="179"/>
      <c r="O44" s="179"/>
      <c r="P44" s="43"/>
      <c r="Q44" s="43"/>
      <c r="R44" s="137"/>
      <c r="S44" s="137"/>
      <c r="T44" s="43"/>
      <c r="U44" s="43"/>
      <c r="V44" s="179"/>
      <c r="W44" s="179"/>
      <c r="X44" s="43">
        <v>3</v>
      </c>
      <c r="Y44" s="43">
        <v>3</v>
      </c>
      <c r="Z44" s="43">
        <v>3</v>
      </c>
      <c r="AA44" s="143"/>
      <c r="AB44" s="143"/>
      <c r="AC44" s="43">
        <v>3</v>
      </c>
      <c r="AD44" s="43"/>
      <c r="AE44" s="179"/>
      <c r="AF44" s="179"/>
      <c r="AG44" s="43"/>
      <c r="AH44" s="43"/>
      <c r="AI44" s="143"/>
      <c r="AJ44" s="143"/>
      <c r="AK44" s="43"/>
      <c r="AL44" s="43"/>
      <c r="AM44" s="179"/>
      <c r="AN44" s="179"/>
      <c r="AO44" s="156"/>
      <c r="AP44" s="156"/>
      <c r="AQ44" s="156"/>
      <c r="AR44" s="156"/>
      <c r="AS44" s="156"/>
      <c r="AT44" s="156"/>
      <c r="AU44" s="156"/>
      <c r="AV44" s="156"/>
      <c r="AW44" s="156"/>
      <c r="AX44" s="156"/>
      <c r="AY44" s="156"/>
      <c r="AZ44" s="156"/>
      <c r="BA44" s="156"/>
      <c r="BB44" s="232"/>
      <c r="BC44" s="334"/>
      <c r="BD44" s="335"/>
    </row>
    <row r="45" spans="1:56">
      <c r="A45" s="369"/>
      <c r="B45" s="352"/>
      <c r="C45" s="352"/>
      <c r="D45" s="43">
        <f t="shared" si="3"/>
        <v>5</v>
      </c>
      <c r="E45" s="43">
        <v>1</v>
      </c>
      <c r="F45" s="43" t="s">
        <v>33</v>
      </c>
      <c r="G45" s="43">
        <v>7.5</v>
      </c>
      <c r="H45" s="224">
        <f t="shared" si="2"/>
        <v>0</v>
      </c>
      <c r="I45" s="43" t="s">
        <v>34</v>
      </c>
      <c r="J45" s="372" t="s">
        <v>37</v>
      </c>
      <c r="K45" s="167"/>
      <c r="L45" s="43">
        <v>1.5</v>
      </c>
      <c r="M45" s="43"/>
      <c r="N45" s="179"/>
      <c r="O45" s="179"/>
      <c r="P45" s="43">
        <v>1.5</v>
      </c>
      <c r="Q45" s="43">
        <v>1.5</v>
      </c>
      <c r="R45" s="137"/>
      <c r="S45" s="137"/>
      <c r="T45" s="43">
        <v>1.5</v>
      </c>
      <c r="U45" s="43"/>
      <c r="V45" s="179"/>
      <c r="W45" s="179"/>
      <c r="X45" s="43"/>
      <c r="Y45" s="43">
        <v>1.5</v>
      </c>
      <c r="Z45" s="43"/>
      <c r="AA45" s="143"/>
      <c r="AB45" s="143"/>
      <c r="AC45" s="43"/>
      <c r="AD45" s="43"/>
      <c r="AE45" s="179"/>
      <c r="AF45" s="179"/>
      <c r="AG45" s="43"/>
      <c r="AH45" s="43"/>
      <c r="AI45" s="143"/>
      <c r="AJ45" s="143"/>
      <c r="AK45" s="43"/>
      <c r="AL45" s="43"/>
      <c r="AM45" s="179"/>
      <c r="AN45" s="179"/>
      <c r="AO45" s="43"/>
      <c r="AP45" s="43"/>
      <c r="AQ45" s="143"/>
      <c r="AR45" s="143"/>
      <c r="AS45" s="43"/>
      <c r="AT45" s="43"/>
      <c r="AU45" s="179"/>
      <c r="AV45" s="179"/>
      <c r="AW45" s="179"/>
      <c r="AX45" s="179"/>
      <c r="AY45" s="43"/>
      <c r="AZ45" s="43"/>
      <c r="BA45" s="179"/>
      <c r="BB45" s="233"/>
      <c r="BC45" s="334"/>
      <c r="BD45" s="335"/>
    </row>
    <row r="46" spans="1:56">
      <c r="A46" s="369"/>
      <c r="B46" s="352"/>
      <c r="C46" s="352"/>
      <c r="D46" s="43">
        <f t="shared" si="3"/>
        <v>5</v>
      </c>
      <c r="E46" s="43">
        <v>1</v>
      </c>
      <c r="F46" s="43" t="s">
        <v>36</v>
      </c>
      <c r="G46" s="43">
        <v>7.5</v>
      </c>
      <c r="H46" s="224">
        <f t="shared" si="2"/>
        <v>0</v>
      </c>
      <c r="I46" s="43" t="s">
        <v>34</v>
      </c>
      <c r="J46" s="372"/>
      <c r="K46" s="167"/>
      <c r="L46" s="43"/>
      <c r="M46" s="43">
        <v>1.5</v>
      </c>
      <c r="N46" s="179"/>
      <c r="O46" s="179"/>
      <c r="P46" s="43"/>
      <c r="Q46" s="43"/>
      <c r="R46" s="137"/>
      <c r="S46" s="137"/>
      <c r="T46" s="43"/>
      <c r="U46" s="43">
        <v>1.5</v>
      </c>
      <c r="V46" s="179"/>
      <c r="W46" s="179"/>
      <c r="X46" s="43">
        <v>1.5</v>
      </c>
      <c r="Y46" s="43">
        <v>1.5</v>
      </c>
      <c r="Z46" s="43">
        <v>1.5</v>
      </c>
      <c r="AA46" s="143"/>
      <c r="AB46" s="143"/>
      <c r="AC46" s="43"/>
      <c r="AD46" s="43"/>
      <c r="AE46" s="179"/>
      <c r="AF46" s="179"/>
      <c r="AG46" s="43"/>
      <c r="AH46" s="43"/>
      <c r="AI46" s="143"/>
      <c r="AJ46" s="143"/>
      <c r="AK46" s="43"/>
      <c r="AL46" s="43"/>
      <c r="AM46" s="179"/>
      <c r="AN46" s="179"/>
      <c r="AO46" s="43"/>
      <c r="AP46" s="43"/>
      <c r="AQ46" s="143"/>
      <c r="AR46" s="143"/>
      <c r="AS46" s="43"/>
      <c r="AT46" s="43"/>
      <c r="AU46" s="179"/>
      <c r="AV46" s="179"/>
      <c r="AW46" s="179"/>
      <c r="AX46" s="179"/>
      <c r="AY46" s="43"/>
      <c r="AZ46" s="43"/>
      <c r="BA46" s="179"/>
      <c r="BB46" s="233"/>
      <c r="BC46" s="334"/>
      <c r="BD46" s="335"/>
    </row>
    <row r="47" spans="1:56" ht="15.75" thickBot="1">
      <c r="A47" s="370"/>
      <c r="B47" s="355"/>
      <c r="C47" s="355"/>
      <c r="D47" s="46">
        <f t="shared" si="3"/>
        <v>3</v>
      </c>
      <c r="E47" s="46">
        <v>1</v>
      </c>
      <c r="F47" s="46" t="s">
        <v>39</v>
      </c>
      <c r="G47" s="46">
        <v>12</v>
      </c>
      <c r="H47" s="225">
        <f t="shared" si="2"/>
        <v>0</v>
      </c>
      <c r="I47" s="46" t="s">
        <v>160</v>
      </c>
      <c r="J47" s="376"/>
      <c r="K47" s="168"/>
      <c r="L47" s="46"/>
      <c r="M47" s="46"/>
      <c r="N47" s="180"/>
      <c r="O47" s="180"/>
      <c r="P47" s="46"/>
      <c r="Q47" s="46"/>
      <c r="R47" s="138"/>
      <c r="S47" s="138"/>
      <c r="T47" s="46"/>
      <c r="U47" s="46"/>
      <c r="V47" s="180"/>
      <c r="W47" s="180"/>
      <c r="X47" s="46"/>
      <c r="Y47" s="46"/>
      <c r="Z47" s="46">
        <v>3</v>
      </c>
      <c r="AA47" s="144"/>
      <c r="AB47" s="144"/>
      <c r="AC47" s="46">
        <v>6</v>
      </c>
      <c r="AD47" s="46">
        <v>3</v>
      </c>
      <c r="AE47" s="180"/>
      <c r="AF47" s="180"/>
      <c r="AG47" s="46"/>
      <c r="AH47" s="46"/>
      <c r="AI47" s="144"/>
      <c r="AJ47" s="144"/>
      <c r="AK47" s="46"/>
      <c r="AL47" s="46"/>
      <c r="AM47" s="180"/>
      <c r="AN47" s="180"/>
      <c r="AO47" s="46"/>
      <c r="AP47" s="46"/>
      <c r="AQ47" s="144"/>
      <c r="AR47" s="144"/>
      <c r="AS47" s="46"/>
      <c r="AT47" s="46"/>
      <c r="AU47" s="180"/>
      <c r="AV47" s="180"/>
      <c r="AW47" s="180"/>
      <c r="AX47" s="180"/>
      <c r="AY47" s="46"/>
      <c r="AZ47" s="46"/>
      <c r="BA47" s="180"/>
      <c r="BB47" s="235"/>
      <c r="BC47" s="336"/>
      <c r="BD47" s="337"/>
    </row>
    <row r="48" spans="1:56" ht="15.75" thickTop="1">
      <c r="A48" s="368" t="s">
        <v>161</v>
      </c>
      <c r="B48" s="351" t="s">
        <v>162</v>
      </c>
      <c r="C48" s="351" t="s">
        <v>73</v>
      </c>
      <c r="D48" s="45">
        <f t="shared" si="3"/>
        <v>2</v>
      </c>
      <c r="E48" s="45">
        <v>2</v>
      </c>
      <c r="F48" s="45" t="s">
        <v>33</v>
      </c>
      <c r="G48" s="45">
        <v>4</v>
      </c>
      <c r="H48" s="223">
        <f t="shared" si="2"/>
        <v>0</v>
      </c>
      <c r="I48" s="45" t="s">
        <v>34</v>
      </c>
      <c r="J48" s="371" t="s">
        <v>74</v>
      </c>
      <c r="K48" s="166"/>
      <c r="L48" s="45">
        <v>2</v>
      </c>
      <c r="M48" s="45">
        <v>2</v>
      </c>
      <c r="N48" s="178"/>
      <c r="O48" s="178"/>
      <c r="P48" s="45"/>
      <c r="Q48" s="45"/>
      <c r="R48" s="136"/>
      <c r="S48" s="136"/>
      <c r="T48" s="45"/>
      <c r="U48" s="45"/>
      <c r="V48" s="178"/>
      <c r="W48" s="178"/>
      <c r="X48" s="45"/>
      <c r="Y48" s="45"/>
      <c r="Z48" s="45"/>
      <c r="AA48" s="142"/>
      <c r="AB48" s="142"/>
      <c r="AC48" s="45"/>
      <c r="AD48" s="45"/>
      <c r="AE48" s="178"/>
      <c r="AF48" s="178"/>
      <c r="AG48" s="45"/>
      <c r="AH48" s="45"/>
      <c r="AI48" s="142"/>
      <c r="AJ48" s="142"/>
      <c r="AK48" s="45"/>
      <c r="AL48" s="45"/>
      <c r="AM48" s="178"/>
      <c r="AN48" s="178"/>
      <c r="AO48" s="45"/>
      <c r="AP48" s="45"/>
      <c r="AQ48" s="142"/>
      <c r="AR48" s="142"/>
      <c r="AS48" s="45"/>
      <c r="AT48" s="45"/>
      <c r="AU48" s="178"/>
      <c r="AV48" s="178"/>
      <c r="AW48" s="178"/>
      <c r="AX48" s="178"/>
      <c r="AY48" s="45"/>
      <c r="AZ48" s="45"/>
      <c r="BA48" s="178"/>
      <c r="BB48" s="236"/>
      <c r="BC48" s="332" t="s">
        <v>162</v>
      </c>
      <c r="BD48" s="333"/>
    </row>
    <row r="49" spans="1:56">
      <c r="A49" s="369"/>
      <c r="B49" s="352"/>
      <c r="C49" s="352"/>
      <c r="D49" s="43">
        <f t="shared" si="3"/>
        <v>2</v>
      </c>
      <c r="E49" s="43">
        <v>2</v>
      </c>
      <c r="F49" s="43" t="s">
        <v>36</v>
      </c>
      <c r="G49" s="43">
        <v>4</v>
      </c>
      <c r="H49" s="224">
        <f t="shared" si="2"/>
        <v>0</v>
      </c>
      <c r="I49" s="43" t="s">
        <v>34</v>
      </c>
      <c r="J49" s="372"/>
      <c r="K49" s="167"/>
      <c r="L49" s="43">
        <v>2</v>
      </c>
      <c r="M49" s="43">
        <v>2</v>
      </c>
      <c r="N49" s="179"/>
      <c r="O49" s="179"/>
      <c r="P49" s="43"/>
      <c r="Q49" s="43"/>
      <c r="R49" s="137"/>
      <c r="S49" s="137"/>
      <c r="T49" s="43"/>
      <c r="U49" s="43"/>
      <c r="V49" s="179"/>
      <c r="W49" s="179"/>
      <c r="X49" s="43"/>
      <c r="Y49" s="43"/>
      <c r="Z49" s="43"/>
      <c r="AA49" s="143"/>
      <c r="AB49" s="143"/>
      <c r="AC49" s="43"/>
      <c r="AD49" s="43"/>
      <c r="AE49" s="179"/>
      <c r="AF49" s="179"/>
      <c r="AG49" s="43"/>
      <c r="AH49" s="43"/>
      <c r="AI49" s="143"/>
      <c r="AJ49" s="143"/>
      <c r="AK49" s="43"/>
      <c r="AL49" s="43"/>
      <c r="AM49" s="179"/>
      <c r="AN49" s="179"/>
      <c r="AO49" s="43"/>
      <c r="AP49" s="43"/>
      <c r="AQ49" s="143"/>
      <c r="AR49" s="143"/>
      <c r="AS49" s="43"/>
      <c r="AT49" s="43"/>
      <c r="AU49" s="179"/>
      <c r="AV49" s="179"/>
      <c r="AW49" s="179"/>
      <c r="AX49" s="179"/>
      <c r="AY49" s="43"/>
      <c r="AZ49" s="43"/>
      <c r="BA49" s="179"/>
      <c r="BB49" s="233"/>
      <c r="BC49" s="334"/>
      <c r="BD49" s="335"/>
    </row>
    <row r="50" spans="1:56">
      <c r="A50" s="369"/>
      <c r="B50" s="352"/>
      <c r="C50" s="352"/>
      <c r="D50" s="43">
        <f t="shared" si="3"/>
        <v>3</v>
      </c>
      <c r="E50" s="43">
        <v>0</v>
      </c>
      <c r="F50" s="43" t="s">
        <v>39</v>
      </c>
      <c r="G50" s="43">
        <v>9</v>
      </c>
      <c r="H50" s="224">
        <f t="shared" si="2"/>
        <v>0</v>
      </c>
      <c r="I50" s="43">
        <v>124</v>
      </c>
      <c r="J50" s="151" t="s">
        <v>35</v>
      </c>
      <c r="K50" s="167"/>
      <c r="L50" s="43"/>
      <c r="M50" s="43"/>
      <c r="N50" s="179"/>
      <c r="O50" s="179"/>
      <c r="P50" s="43"/>
      <c r="Q50" s="43"/>
      <c r="R50" s="137"/>
      <c r="S50" s="137"/>
      <c r="T50" s="43">
        <v>3</v>
      </c>
      <c r="U50" s="43">
        <v>3</v>
      </c>
      <c r="V50" s="179">
        <v>3</v>
      </c>
      <c r="W50" s="179"/>
      <c r="X50" s="43"/>
      <c r="Y50" s="43"/>
      <c r="Z50" s="43"/>
      <c r="AA50" s="143"/>
      <c r="AB50" s="143"/>
      <c r="AC50" s="43"/>
      <c r="AD50" s="43"/>
      <c r="AE50" s="179"/>
      <c r="AF50" s="179"/>
      <c r="AG50" s="43"/>
      <c r="AH50" s="43"/>
      <c r="AI50" s="143"/>
      <c r="AJ50" s="143"/>
      <c r="AK50" s="43"/>
      <c r="AL50" s="43"/>
      <c r="AM50" s="179"/>
      <c r="AN50" s="179"/>
      <c r="AO50" s="43"/>
      <c r="AP50" s="43"/>
      <c r="AQ50" s="143"/>
      <c r="AR50" s="143"/>
      <c r="AS50" s="43"/>
      <c r="AT50" s="43"/>
      <c r="AU50" s="179"/>
      <c r="AV50" s="179"/>
      <c r="AW50" s="179"/>
      <c r="AX50" s="179"/>
      <c r="AY50" s="43"/>
      <c r="AZ50" s="43"/>
      <c r="BA50" s="179"/>
      <c r="BB50" s="233"/>
      <c r="BC50" s="334"/>
      <c r="BD50" s="335"/>
    </row>
    <row r="51" spans="1:56" ht="15.75" thickBot="1">
      <c r="A51" s="370"/>
      <c r="B51" s="355"/>
      <c r="C51" s="355"/>
      <c r="D51" s="46">
        <f t="shared" si="3"/>
        <v>3</v>
      </c>
      <c r="E51" s="46">
        <v>1</v>
      </c>
      <c r="F51" s="46" t="s">
        <v>39</v>
      </c>
      <c r="G51" s="46">
        <v>9</v>
      </c>
      <c r="H51" s="225">
        <f t="shared" si="2"/>
        <v>0</v>
      </c>
      <c r="I51" s="46">
        <v>124</v>
      </c>
      <c r="J51" s="152" t="s">
        <v>37</v>
      </c>
      <c r="K51" s="168"/>
      <c r="L51" s="46"/>
      <c r="M51" s="46"/>
      <c r="N51" s="180"/>
      <c r="O51" s="180"/>
      <c r="P51" s="46"/>
      <c r="Q51" s="46"/>
      <c r="R51" s="138"/>
      <c r="S51" s="138"/>
      <c r="T51" s="46"/>
      <c r="U51" s="46"/>
      <c r="V51" s="180"/>
      <c r="W51" s="180"/>
      <c r="X51" s="46">
        <v>3</v>
      </c>
      <c r="Y51" s="46">
        <v>3</v>
      </c>
      <c r="Z51" s="46">
        <v>3</v>
      </c>
      <c r="AA51" s="144"/>
      <c r="AB51" s="144"/>
      <c r="AC51" s="46"/>
      <c r="AD51" s="46"/>
      <c r="AE51" s="180"/>
      <c r="AF51" s="180"/>
      <c r="AG51" s="46"/>
      <c r="AH51" s="46"/>
      <c r="AI51" s="144"/>
      <c r="AJ51" s="144"/>
      <c r="AK51" s="46"/>
      <c r="AL51" s="46"/>
      <c r="AM51" s="180"/>
      <c r="AN51" s="180"/>
      <c r="AO51" s="46"/>
      <c r="AP51" s="46"/>
      <c r="AQ51" s="144"/>
      <c r="AR51" s="144"/>
      <c r="AS51" s="46"/>
      <c r="AT51" s="46"/>
      <c r="AU51" s="180"/>
      <c r="AV51" s="180"/>
      <c r="AW51" s="180"/>
      <c r="AX51" s="180"/>
      <c r="AY51" s="46"/>
      <c r="AZ51" s="46"/>
      <c r="BA51" s="180"/>
      <c r="BB51" s="235"/>
      <c r="BC51" s="336"/>
      <c r="BD51" s="337"/>
    </row>
    <row r="52" spans="1:56" ht="15.75" customHeight="1" thickTop="1">
      <c r="A52" s="368" t="s">
        <v>163</v>
      </c>
      <c r="B52" s="351" t="s">
        <v>164</v>
      </c>
      <c r="C52" s="363" t="s">
        <v>165</v>
      </c>
      <c r="D52" s="45">
        <f t="shared" si="3"/>
        <v>10</v>
      </c>
      <c r="E52" s="45">
        <v>0</v>
      </c>
      <c r="F52" s="45" t="s">
        <v>33</v>
      </c>
      <c r="G52" s="45">
        <v>15</v>
      </c>
      <c r="H52" s="223">
        <f t="shared" si="2"/>
        <v>0</v>
      </c>
      <c r="I52" s="45" t="s">
        <v>34</v>
      </c>
      <c r="J52" s="371" t="s">
        <v>35</v>
      </c>
      <c r="K52" s="166"/>
      <c r="L52" s="45">
        <v>1.5</v>
      </c>
      <c r="M52" s="45">
        <v>1.5</v>
      </c>
      <c r="N52" s="178">
        <v>1.5</v>
      </c>
      <c r="O52" s="178">
        <v>1.5</v>
      </c>
      <c r="P52" s="45">
        <v>1.5</v>
      </c>
      <c r="Q52" s="45">
        <v>1.5</v>
      </c>
      <c r="R52" s="136"/>
      <c r="S52" s="136"/>
      <c r="T52" s="45">
        <v>1.5</v>
      </c>
      <c r="U52" s="45">
        <v>1.5</v>
      </c>
      <c r="V52" s="178">
        <v>1.5</v>
      </c>
      <c r="W52" s="178">
        <v>1.5</v>
      </c>
      <c r="X52" s="45"/>
      <c r="Y52" s="45"/>
      <c r="Z52" s="45"/>
      <c r="AA52" s="142"/>
      <c r="AB52" s="142"/>
      <c r="AC52" s="45"/>
      <c r="AD52" s="45"/>
      <c r="AE52" s="178"/>
      <c r="AF52" s="178"/>
      <c r="AG52" s="45"/>
      <c r="AH52" s="45"/>
      <c r="AI52" s="142"/>
      <c r="AJ52" s="142"/>
      <c r="AK52" s="45"/>
      <c r="AL52" s="45"/>
      <c r="AM52" s="178"/>
      <c r="AN52" s="178"/>
      <c r="AO52" s="153"/>
      <c r="AP52" s="153"/>
      <c r="AQ52" s="153"/>
      <c r="AR52" s="153"/>
      <c r="AS52" s="153"/>
      <c r="AT52" s="153"/>
      <c r="AU52" s="153"/>
      <c r="AV52" s="153"/>
      <c r="AW52" s="153"/>
      <c r="AX52" s="153"/>
      <c r="AY52" s="153"/>
      <c r="AZ52" s="153"/>
      <c r="BA52" s="153"/>
      <c r="BB52" s="231"/>
      <c r="BC52" s="326" t="s">
        <v>166</v>
      </c>
      <c r="BD52" s="327"/>
    </row>
    <row r="53" spans="1:56">
      <c r="A53" s="369"/>
      <c r="B53" s="352"/>
      <c r="C53" s="349"/>
      <c r="D53" s="43">
        <f t="shared" si="3"/>
        <v>10</v>
      </c>
      <c r="E53" s="43">
        <v>0</v>
      </c>
      <c r="F53" s="43" t="s">
        <v>36</v>
      </c>
      <c r="G53" s="43">
        <v>15</v>
      </c>
      <c r="H53" s="224">
        <f t="shared" si="2"/>
        <v>0</v>
      </c>
      <c r="I53" s="43" t="s">
        <v>34</v>
      </c>
      <c r="J53" s="372"/>
      <c r="K53" s="167"/>
      <c r="L53" s="43">
        <v>1.5</v>
      </c>
      <c r="M53" s="43">
        <v>1.5</v>
      </c>
      <c r="N53" s="179">
        <v>1.5</v>
      </c>
      <c r="O53" s="179">
        <v>1.5</v>
      </c>
      <c r="P53" s="43">
        <v>1.5</v>
      </c>
      <c r="Q53" s="43">
        <v>1.5</v>
      </c>
      <c r="R53" s="137"/>
      <c r="S53" s="137"/>
      <c r="T53" s="43">
        <v>1.5</v>
      </c>
      <c r="U53" s="43">
        <v>1.5</v>
      </c>
      <c r="V53" s="179">
        <v>1.5</v>
      </c>
      <c r="W53" s="179">
        <v>1.5</v>
      </c>
      <c r="X53" s="43"/>
      <c r="Y53" s="43"/>
      <c r="Z53" s="43"/>
      <c r="AA53" s="143"/>
      <c r="AB53" s="143"/>
      <c r="AC53" s="43"/>
      <c r="AD53" s="43"/>
      <c r="AE53" s="179"/>
      <c r="AF53" s="179"/>
      <c r="AG53" s="43"/>
      <c r="AH53" s="43"/>
      <c r="AI53" s="143"/>
      <c r="AJ53" s="143"/>
      <c r="AK53" s="43"/>
      <c r="AL53" s="43"/>
      <c r="AM53" s="179"/>
      <c r="AN53" s="179"/>
      <c r="AO53" s="156"/>
      <c r="AP53" s="156"/>
      <c r="AQ53" s="156"/>
      <c r="AR53" s="156"/>
      <c r="AS53" s="156"/>
      <c r="AT53" s="156"/>
      <c r="AU53" s="156"/>
      <c r="AV53" s="156"/>
      <c r="AW53" s="156"/>
      <c r="AX53" s="156"/>
      <c r="AY53" s="156"/>
      <c r="AZ53" s="156"/>
      <c r="BA53" s="156"/>
      <c r="BB53" s="232"/>
      <c r="BC53" s="328"/>
      <c r="BD53" s="329"/>
    </row>
    <row r="54" spans="1:56">
      <c r="A54" s="369"/>
      <c r="B54" s="352"/>
      <c r="C54" s="354"/>
      <c r="D54" s="43">
        <f t="shared" si="3"/>
        <v>4</v>
      </c>
      <c r="E54" s="43">
        <v>0</v>
      </c>
      <c r="F54" s="43" t="s">
        <v>39</v>
      </c>
      <c r="G54" s="43">
        <v>15</v>
      </c>
      <c r="H54" s="224">
        <f t="shared" si="2"/>
        <v>-9</v>
      </c>
      <c r="I54" s="43">
        <v>127</v>
      </c>
      <c r="J54" s="372"/>
      <c r="K54" s="167"/>
      <c r="L54" s="43"/>
      <c r="M54" s="43"/>
      <c r="N54" s="179"/>
      <c r="O54" s="179"/>
      <c r="P54" s="43"/>
      <c r="Q54" s="43"/>
      <c r="R54" s="137"/>
      <c r="S54" s="137"/>
      <c r="T54" s="43"/>
      <c r="U54" s="43"/>
      <c r="V54" s="179"/>
      <c r="W54" s="179"/>
      <c r="X54" s="43"/>
      <c r="Y54" s="43"/>
      <c r="Z54" s="43">
        <v>3</v>
      </c>
      <c r="AA54" s="143"/>
      <c r="AB54" s="143"/>
      <c r="AC54" s="43">
        <v>6</v>
      </c>
      <c r="AD54" s="43">
        <v>6</v>
      </c>
      <c r="AE54" s="179">
        <v>9</v>
      </c>
      <c r="AF54" s="179"/>
      <c r="AG54" s="43"/>
      <c r="AH54" s="43"/>
      <c r="AI54" s="143"/>
      <c r="AJ54" s="143"/>
      <c r="AK54" s="43"/>
      <c r="AL54" s="43"/>
      <c r="AM54" s="179"/>
      <c r="AN54" s="179"/>
      <c r="AO54" s="156"/>
      <c r="AP54" s="156"/>
      <c r="AQ54" s="156"/>
      <c r="AR54" s="156"/>
      <c r="AS54" s="156"/>
      <c r="AT54" s="156"/>
      <c r="AU54" s="156"/>
      <c r="AV54" s="156"/>
      <c r="AW54" s="156"/>
      <c r="AX54" s="156"/>
      <c r="AY54" s="156"/>
      <c r="AZ54" s="156"/>
      <c r="BA54" s="156"/>
      <c r="BB54" s="232"/>
      <c r="BC54" s="328"/>
      <c r="BD54" s="329"/>
    </row>
    <row r="55" spans="1:56">
      <c r="A55" s="369"/>
      <c r="B55" s="352"/>
      <c r="C55" s="373" t="s">
        <v>109</v>
      </c>
      <c r="D55" s="43">
        <f t="shared" si="3"/>
        <v>5</v>
      </c>
      <c r="E55" s="43">
        <v>1</v>
      </c>
      <c r="F55" s="43" t="s">
        <v>33</v>
      </c>
      <c r="G55" s="43">
        <v>15</v>
      </c>
      <c r="H55" s="224">
        <f t="shared" si="2"/>
        <v>0</v>
      </c>
      <c r="I55" s="43" t="s">
        <v>34</v>
      </c>
      <c r="J55" s="372" t="s">
        <v>37</v>
      </c>
      <c r="K55" s="167"/>
      <c r="L55" s="43"/>
      <c r="M55" s="43">
        <v>3</v>
      </c>
      <c r="N55" s="179"/>
      <c r="O55" s="179"/>
      <c r="P55" s="43">
        <v>3</v>
      </c>
      <c r="Q55" s="43">
        <v>3</v>
      </c>
      <c r="R55" s="137"/>
      <c r="S55" s="137"/>
      <c r="T55" s="43">
        <v>3</v>
      </c>
      <c r="U55" s="43"/>
      <c r="V55" s="179"/>
      <c r="W55" s="179"/>
      <c r="X55" s="43">
        <v>3</v>
      </c>
      <c r="Y55" s="43"/>
      <c r="Z55" s="43"/>
      <c r="AA55" s="143"/>
      <c r="AB55" s="143"/>
      <c r="AC55" s="43"/>
      <c r="AD55" s="43"/>
      <c r="AE55" s="179"/>
      <c r="AF55" s="179"/>
      <c r="AG55" s="43"/>
      <c r="AH55" s="43"/>
      <c r="AI55" s="143"/>
      <c r="AJ55" s="143"/>
      <c r="AK55" s="43"/>
      <c r="AL55" s="43"/>
      <c r="AM55" s="179"/>
      <c r="AN55" s="179"/>
      <c r="AO55" s="43"/>
      <c r="AP55" s="43"/>
      <c r="AQ55" s="143"/>
      <c r="AR55" s="143"/>
      <c r="AS55" s="43"/>
      <c r="AT55" s="43"/>
      <c r="AU55" s="179"/>
      <c r="AV55" s="179"/>
      <c r="AW55" s="179"/>
      <c r="AX55" s="179"/>
      <c r="AY55" s="43"/>
      <c r="AZ55" s="43"/>
      <c r="BA55" s="179"/>
      <c r="BB55" s="233"/>
      <c r="BC55" s="328"/>
      <c r="BD55" s="329"/>
    </row>
    <row r="56" spans="1:56">
      <c r="A56" s="369"/>
      <c r="B56" s="352"/>
      <c r="C56" s="349"/>
      <c r="D56" s="43">
        <f t="shared" si="3"/>
        <v>5</v>
      </c>
      <c r="E56" s="43">
        <v>1</v>
      </c>
      <c r="F56" s="43" t="s">
        <v>36</v>
      </c>
      <c r="G56" s="43">
        <v>15</v>
      </c>
      <c r="H56" s="224">
        <f t="shared" si="2"/>
        <v>0</v>
      </c>
      <c r="I56" s="43" t="s">
        <v>34</v>
      </c>
      <c r="J56" s="372"/>
      <c r="K56" s="167"/>
      <c r="L56" s="43"/>
      <c r="M56" s="43">
        <v>3</v>
      </c>
      <c r="N56" s="179"/>
      <c r="O56" s="179"/>
      <c r="P56" s="43">
        <v>3</v>
      </c>
      <c r="Q56" s="43">
        <v>3</v>
      </c>
      <c r="R56" s="137"/>
      <c r="S56" s="137"/>
      <c r="T56" s="43">
        <v>3</v>
      </c>
      <c r="U56" s="43"/>
      <c r="V56" s="179"/>
      <c r="W56" s="179"/>
      <c r="X56" s="43">
        <v>3</v>
      </c>
      <c r="Y56" s="43"/>
      <c r="Z56" s="43"/>
      <c r="AA56" s="143"/>
      <c r="AB56" s="143"/>
      <c r="AC56" s="43"/>
      <c r="AD56" s="43"/>
      <c r="AE56" s="179"/>
      <c r="AF56" s="179"/>
      <c r="AG56" s="43"/>
      <c r="AH56" s="43"/>
      <c r="AI56" s="143"/>
      <c r="AJ56" s="143"/>
      <c r="AK56" s="43"/>
      <c r="AL56" s="43"/>
      <c r="AM56" s="179"/>
      <c r="AN56" s="179"/>
      <c r="AO56" s="43"/>
      <c r="AP56" s="43"/>
      <c r="AQ56" s="143"/>
      <c r="AR56" s="143"/>
      <c r="AS56" s="43"/>
      <c r="AT56" s="43"/>
      <c r="AU56" s="179"/>
      <c r="AV56" s="179"/>
      <c r="AW56" s="179"/>
      <c r="AX56" s="179"/>
      <c r="AY56" s="43"/>
      <c r="AZ56" s="43"/>
      <c r="BA56" s="179"/>
      <c r="BB56" s="233"/>
      <c r="BC56" s="328"/>
      <c r="BD56" s="329"/>
    </row>
    <row r="57" spans="1:56" ht="15.75" thickBot="1">
      <c r="A57" s="370"/>
      <c r="B57" s="355"/>
      <c r="C57" s="350"/>
      <c r="D57" s="46">
        <f t="shared" si="3"/>
        <v>5</v>
      </c>
      <c r="E57" s="46">
        <v>1</v>
      </c>
      <c r="F57" s="46" t="s">
        <v>39</v>
      </c>
      <c r="G57" s="46">
        <v>15</v>
      </c>
      <c r="H57" s="225">
        <f t="shared" si="2"/>
        <v>-9</v>
      </c>
      <c r="I57" s="46">
        <v>127</v>
      </c>
      <c r="J57" s="376"/>
      <c r="K57" s="168"/>
      <c r="L57" s="46"/>
      <c r="M57" s="46"/>
      <c r="N57" s="180"/>
      <c r="O57" s="180"/>
      <c r="P57" s="46"/>
      <c r="Q57" s="46"/>
      <c r="R57" s="138"/>
      <c r="S57" s="138"/>
      <c r="T57" s="46"/>
      <c r="U57" s="46"/>
      <c r="V57" s="180"/>
      <c r="W57" s="180"/>
      <c r="X57" s="46"/>
      <c r="Y57" s="46"/>
      <c r="Z57" s="46">
        <v>3</v>
      </c>
      <c r="AA57" s="144"/>
      <c r="AB57" s="144"/>
      <c r="AC57" s="46">
        <v>3</v>
      </c>
      <c r="AD57" s="46">
        <v>6</v>
      </c>
      <c r="AE57" s="180"/>
      <c r="AF57" s="180"/>
      <c r="AG57" s="46">
        <v>6</v>
      </c>
      <c r="AH57" s="46">
        <v>6</v>
      </c>
      <c r="AI57" s="144"/>
      <c r="AJ57" s="144"/>
      <c r="AK57" s="46"/>
      <c r="AL57" s="46"/>
      <c r="AM57" s="180"/>
      <c r="AN57" s="180"/>
      <c r="AO57" s="46"/>
      <c r="AP57" s="46"/>
      <c r="AQ57" s="144"/>
      <c r="AR57" s="144"/>
      <c r="AS57" s="46"/>
      <c r="AT57" s="46"/>
      <c r="AU57" s="180"/>
      <c r="AV57" s="180"/>
      <c r="AW57" s="180"/>
      <c r="AX57" s="180"/>
      <c r="AY57" s="46"/>
      <c r="AZ57" s="46"/>
      <c r="BA57" s="180"/>
      <c r="BB57" s="235"/>
      <c r="BC57" s="330"/>
      <c r="BD57" s="331"/>
    </row>
    <row r="58" spans="1:56" ht="15.75" thickTop="1">
      <c r="A58" s="368" t="s">
        <v>167</v>
      </c>
      <c r="B58" s="351" t="s">
        <v>168</v>
      </c>
      <c r="C58" s="351" t="s">
        <v>60</v>
      </c>
      <c r="D58" s="45">
        <f t="shared" si="3"/>
        <v>7</v>
      </c>
      <c r="E58" s="45">
        <v>0</v>
      </c>
      <c r="F58" s="45" t="s">
        <v>33</v>
      </c>
      <c r="G58" s="45">
        <v>10.5</v>
      </c>
      <c r="H58" s="223">
        <f t="shared" si="2"/>
        <v>0</v>
      </c>
      <c r="I58" s="45" t="s">
        <v>34</v>
      </c>
      <c r="J58" s="371" t="s">
        <v>35</v>
      </c>
      <c r="K58" s="166"/>
      <c r="L58" s="45">
        <v>1.5</v>
      </c>
      <c r="M58" s="45">
        <v>1.5</v>
      </c>
      <c r="N58" s="178">
        <v>1.5</v>
      </c>
      <c r="O58" s="178">
        <v>1.5</v>
      </c>
      <c r="P58" s="45">
        <v>1.5</v>
      </c>
      <c r="Q58" s="45">
        <v>1.5</v>
      </c>
      <c r="R58" s="136"/>
      <c r="S58" s="136"/>
      <c r="T58" s="45">
        <v>1.5</v>
      </c>
      <c r="U58" s="45"/>
      <c r="V58" s="178"/>
      <c r="W58" s="178"/>
      <c r="X58" s="45"/>
      <c r="Y58" s="45"/>
      <c r="Z58" s="45"/>
      <c r="AA58" s="142"/>
      <c r="AB58" s="142"/>
      <c r="AC58" s="45"/>
      <c r="AD58" s="45"/>
      <c r="AE58" s="178"/>
      <c r="AF58" s="178"/>
      <c r="AG58" s="45"/>
      <c r="AH58" s="45"/>
      <c r="AI58" s="142"/>
      <c r="AJ58" s="142"/>
      <c r="AK58" s="45"/>
      <c r="AL58" s="45"/>
      <c r="AM58" s="178"/>
      <c r="AN58" s="178"/>
      <c r="AO58" s="153"/>
      <c r="AP58" s="153"/>
      <c r="AQ58" s="153"/>
      <c r="AR58" s="153"/>
      <c r="AS58" s="153"/>
      <c r="AT58" s="153"/>
      <c r="AU58" s="153"/>
      <c r="AV58" s="153"/>
      <c r="AW58" s="153"/>
      <c r="AX58" s="153"/>
      <c r="AY58" s="153"/>
      <c r="AZ58" s="153"/>
      <c r="BA58" s="153"/>
      <c r="BB58" s="231"/>
      <c r="BC58" s="332"/>
      <c r="BD58" s="333"/>
    </row>
    <row r="59" spans="1:56">
      <c r="A59" s="369"/>
      <c r="B59" s="352"/>
      <c r="C59" s="352"/>
      <c r="D59" s="43">
        <f t="shared" si="3"/>
        <v>7</v>
      </c>
      <c r="E59" s="43">
        <v>0</v>
      </c>
      <c r="F59" s="43" t="s">
        <v>36</v>
      </c>
      <c r="G59" s="43">
        <v>10.5</v>
      </c>
      <c r="H59" s="224">
        <f t="shared" si="2"/>
        <v>0</v>
      </c>
      <c r="I59" s="43" t="s">
        <v>34</v>
      </c>
      <c r="J59" s="372"/>
      <c r="K59" s="167"/>
      <c r="L59" s="43">
        <v>1.5</v>
      </c>
      <c r="M59" s="43">
        <v>1.5</v>
      </c>
      <c r="N59" s="179">
        <v>1.5</v>
      </c>
      <c r="O59" s="179">
        <v>1.5</v>
      </c>
      <c r="P59" s="43">
        <v>1.5</v>
      </c>
      <c r="Q59" s="43">
        <v>1.5</v>
      </c>
      <c r="R59" s="137"/>
      <c r="S59" s="137"/>
      <c r="T59" s="43">
        <v>1.5</v>
      </c>
      <c r="U59" s="43"/>
      <c r="V59" s="179"/>
      <c r="W59" s="179"/>
      <c r="X59" s="43"/>
      <c r="Y59" s="43"/>
      <c r="Z59" s="43"/>
      <c r="AA59" s="143"/>
      <c r="AB59" s="143"/>
      <c r="AC59" s="43"/>
      <c r="AD59" s="43"/>
      <c r="AE59" s="179"/>
      <c r="AF59" s="179"/>
      <c r="AG59" s="43"/>
      <c r="AH59" s="43"/>
      <c r="AI59" s="143"/>
      <c r="AJ59" s="143"/>
      <c r="AK59" s="43"/>
      <c r="AL59" s="43"/>
      <c r="AM59" s="179"/>
      <c r="AN59" s="179"/>
      <c r="AO59" s="156"/>
      <c r="AP59" s="156"/>
      <c r="AQ59" s="156"/>
      <c r="AR59" s="156"/>
      <c r="AS59" s="156"/>
      <c r="AT59" s="156"/>
      <c r="AU59" s="156"/>
      <c r="AV59" s="156"/>
      <c r="AW59" s="156"/>
      <c r="AX59" s="156"/>
      <c r="AY59" s="156"/>
      <c r="AZ59" s="156"/>
      <c r="BA59" s="156"/>
      <c r="BB59" s="232"/>
      <c r="BC59" s="334"/>
      <c r="BD59" s="335"/>
    </row>
    <row r="60" spans="1:56">
      <c r="A60" s="369"/>
      <c r="B60" s="352"/>
      <c r="C60" s="352"/>
      <c r="D60" s="43">
        <f t="shared" si="3"/>
        <v>2</v>
      </c>
      <c r="E60" s="43">
        <v>0</v>
      </c>
      <c r="F60" s="43" t="s">
        <v>39</v>
      </c>
      <c r="G60" s="43">
        <v>6</v>
      </c>
      <c r="H60" s="224">
        <f t="shared" si="2"/>
        <v>0</v>
      </c>
      <c r="I60" s="43">
        <v>123</v>
      </c>
      <c r="J60" s="372"/>
      <c r="K60" s="167"/>
      <c r="L60" s="43"/>
      <c r="M60" s="43"/>
      <c r="N60" s="179"/>
      <c r="O60" s="179"/>
      <c r="P60" s="43"/>
      <c r="Q60" s="43"/>
      <c r="R60" s="137"/>
      <c r="S60" s="137"/>
      <c r="T60" s="43"/>
      <c r="U60" s="43">
        <v>3</v>
      </c>
      <c r="V60" s="179">
        <v>3</v>
      </c>
      <c r="W60" s="179"/>
      <c r="X60" s="43"/>
      <c r="Y60" s="43"/>
      <c r="Z60" s="43"/>
      <c r="AA60" s="143"/>
      <c r="AB60" s="143"/>
      <c r="AC60" s="43"/>
      <c r="AD60" s="43"/>
      <c r="AE60" s="179"/>
      <c r="AF60" s="179"/>
      <c r="AG60" s="43"/>
      <c r="AH60" s="43"/>
      <c r="AI60" s="143"/>
      <c r="AJ60" s="143"/>
      <c r="AK60" s="43"/>
      <c r="AL60" s="43"/>
      <c r="AM60" s="179"/>
      <c r="AN60" s="179"/>
      <c r="AO60" s="156"/>
      <c r="AP60" s="156"/>
      <c r="AQ60" s="156"/>
      <c r="AR60" s="156"/>
      <c r="AS60" s="156"/>
      <c r="AT60" s="156"/>
      <c r="AU60" s="156"/>
      <c r="AV60" s="156"/>
      <c r="AW60" s="156"/>
      <c r="AX60" s="156"/>
      <c r="AY60" s="156"/>
      <c r="AZ60" s="156"/>
      <c r="BA60" s="156"/>
      <c r="BB60" s="232"/>
      <c r="BC60" s="334"/>
      <c r="BD60" s="335"/>
    </row>
    <row r="61" spans="1:56">
      <c r="A61" s="369"/>
      <c r="B61" s="352"/>
      <c r="C61" s="352"/>
      <c r="D61" s="43">
        <f t="shared" si="3"/>
        <v>7</v>
      </c>
      <c r="E61" s="43">
        <v>1</v>
      </c>
      <c r="F61" s="43" t="s">
        <v>33</v>
      </c>
      <c r="G61" s="43">
        <v>10.5</v>
      </c>
      <c r="H61" s="224">
        <f t="shared" si="2"/>
        <v>0</v>
      </c>
      <c r="I61" s="43" t="s">
        <v>34</v>
      </c>
      <c r="J61" s="372" t="s">
        <v>37</v>
      </c>
      <c r="K61" s="167"/>
      <c r="L61" s="43">
        <v>1.5</v>
      </c>
      <c r="M61" s="43">
        <v>1.5</v>
      </c>
      <c r="N61" s="179"/>
      <c r="O61" s="179"/>
      <c r="P61" s="43">
        <v>1.5</v>
      </c>
      <c r="Q61" s="43">
        <v>1.5</v>
      </c>
      <c r="R61" s="137"/>
      <c r="S61" s="137"/>
      <c r="T61" s="43">
        <v>1.5</v>
      </c>
      <c r="U61" s="43">
        <v>1.5</v>
      </c>
      <c r="V61" s="179"/>
      <c r="W61" s="179"/>
      <c r="X61" s="43">
        <v>1.5</v>
      </c>
      <c r="Y61" s="43"/>
      <c r="Z61" s="43"/>
      <c r="AA61" s="143"/>
      <c r="AB61" s="143"/>
      <c r="AC61" s="43"/>
      <c r="AD61" s="43"/>
      <c r="AE61" s="179"/>
      <c r="AF61" s="179"/>
      <c r="AG61" s="43"/>
      <c r="AH61" s="43"/>
      <c r="AI61" s="143"/>
      <c r="AJ61" s="143"/>
      <c r="AK61" s="43"/>
      <c r="AL61" s="43"/>
      <c r="AM61" s="179"/>
      <c r="AN61" s="179"/>
      <c r="AO61" s="43"/>
      <c r="AP61" s="43"/>
      <c r="AQ61" s="143"/>
      <c r="AR61" s="143"/>
      <c r="AS61" s="43"/>
      <c r="AT61" s="43"/>
      <c r="AU61" s="179"/>
      <c r="AV61" s="179"/>
      <c r="AW61" s="179"/>
      <c r="AX61" s="179"/>
      <c r="AY61" s="43"/>
      <c r="AZ61" s="43"/>
      <c r="BA61" s="179"/>
      <c r="BB61" s="233"/>
      <c r="BC61" s="334"/>
      <c r="BD61" s="335"/>
    </row>
    <row r="62" spans="1:56">
      <c r="A62" s="369"/>
      <c r="B62" s="352"/>
      <c r="C62" s="352"/>
      <c r="D62" s="43">
        <f t="shared" si="3"/>
        <v>7</v>
      </c>
      <c r="E62" s="43">
        <v>1</v>
      </c>
      <c r="F62" s="43" t="s">
        <v>36</v>
      </c>
      <c r="G62" s="43">
        <v>10.5</v>
      </c>
      <c r="H62" s="224">
        <f t="shared" si="2"/>
        <v>0</v>
      </c>
      <c r="I62" s="43" t="s">
        <v>34</v>
      </c>
      <c r="J62" s="372"/>
      <c r="K62" s="167"/>
      <c r="L62" s="43">
        <v>1.5</v>
      </c>
      <c r="M62" s="43">
        <v>1.5</v>
      </c>
      <c r="N62" s="179"/>
      <c r="O62" s="179"/>
      <c r="P62" s="43">
        <v>1.5</v>
      </c>
      <c r="Q62" s="43">
        <v>1.5</v>
      </c>
      <c r="R62" s="137"/>
      <c r="S62" s="137"/>
      <c r="T62" s="43">
        <v>1.5</v>
      </c>
      <c r="U62" s="43">
        <v>1.5</v>
      </c>
      <c r="V62" s="179"/>
      <c r="W62" s="179"/>
      <c r="X62" s="43">
        <v>1.5</v>
      </c>
      <c r="Y62" s="43"/>
      <c r="Z62" s="43"/>
      <c r="AA62" s="143"/>
      <c r="AB62" s="143"/>
      <c r="AC62" s="43"/>
      <c r="AD62" s="43"/>
      <c r="AE62" s="179"/>
      <c r="AF62" s="179"/>
      <c r="AG62" s="43"/>
      <c r="AH62" s="43"/>
      <c r="AI62" s="143"/>
      <c r="AJ62" s="143"/>
      <c r="AK62" s="43"/>
      <c r="AL62" s="43"/>
      <c r="AM62" s="179"/>
      <c r="AN62" s="179"/>
      <c r="AO62" s="43"/>
      <c r="AP62" s="43"/>
      <c r="AQ62" s="143"/>
      <c r="AR62" s="143"/>
      <c r="AS62" s="43"/>
      <c r="AT62" s="43"/>
      <c r="AU62" s="179"/>
      <c r="AV62" s="179"/>
      <c r="AW62" s="179"/>
      <c r="AX62" s="179"/>
      <c r="AY62" s="43"/>
      <c r="AZ62" s="43"/>
      <c r="BA62" s="179"/>
      <c r="BB62" s="233"/>
      <c r="BC62" s="334"/>
      <c r="BD62" s="335"/>
    </row>
    <row r="63" spans="1:56" ht="15.75" thickBot="1">
      <c r="A63" s="370"/>
      <c r="B63" s="355"/>
      <c r="C63" s="355"/>
      <c r="D63" s="46">
        <f t="shared" si="3"/>
        <v>2</v>
      </c>
      <c r="E63" s="46">
        <v>1</v>
      </c>
      <c r="F63" s="46" t="s">
        <v>39</v>
      </c>
      <c r="G63" s="46">
        <v>6</v>
      </c>
      <c r="H63" s="225">
        <f t="shared" si="2"/>
        <v>0</v>
      </c>
      <c r="I63" s="46">
        <v>123</v>
      </c>
      <c r="J63" s="376"/>
      <c r="K63" s="168"/>
      <c r="L63" s="46"/>
      <c r="M63" s="46"/>
      <c r="N63" s="180"/>
      <c r="O63" s="180"/>
      <c r="P63" s="46"/>
      <c r="Q63" s="46"/>
      <c r="R63" s="138"/>
      <c r="S63" s="138"/>
      <c r="T63" s="46"/>
      <c r="U63" s="46"/>
      <c r="V63" s="180"/>
      <c r="W63" s="180"/>
      <c r="X63" s="46"/>
      <c r="Y63" s="46">
        <v>3</v>
      </c>
      <c r="Z63" s="46">
        <v>3</v>
      </c>
      <c r="AA63" s="144"/>
      <c r="AB63" s="144"/>
      <c r="AC63" s="46"/>
      <c r="AD63" s="46"/>
      <c r="AE63" s="180"/>
      <c r="AF63" s="180"/>
      <c r="AG63" s="46"/>
      <c r="AH63" s="46"/>
      <c r="AI63" s="144"/>
      <c r="AJ63" s="144"/>
      <c r="AK63" s="46"/>
      <c r="AL63" s="46"/>
      <c r="AM63" s="180"/>
      <c r="AN63" s="180"/>
      <c r="AO63" s="46"/>
      <c r="AP63" s="46"/>
      <c r="AQ63" s="144"/>
      <c r="AR63" s="144"/>
      <c r="AS63" s="46"/>
      <c r="AT63" s="46"/>
      <c r="AU63" s="180"/>
      <c r="AV63" s="180"/>
      <c r="AW63" s="180"/>
      <c r="AX63" s="180"/>
      <c r="AY63" s="46"/>
      <c r="AZ63" s="46"/>
      <c r="BA63" s="180"/>
      <c r="BB63" s="235"/>
      <c r="BC63" s="336"/>
      <c r="BD63" s="337"/>
    </row>
    <row r="64" spans="1:56" ht="15.75" thickTop="1">
      <c r="A64" s="368" t="s">
        <v>169</v>
      </c>
      <c r="B64" s="351" t="s">
        <v>170</v>
      </c>
      <c r="C64" s="351" t="s">
        <v>171</v>
      </c>
      <c r="D64" s="45">
        <f t="shared" si="3"/>
        <v>2</v>
      </c>
      <c r="E64" s="45">
        <v>0</v>
      </c>
      <c r="F64" s="45" t="s">
        <v>33</v>
      </c>
      <c r="G64" s="45">
        <v>4</v>
      </c>
      <c r="H64" s="223">
        <f t="shared" si="2"/>
        <v>0</v>
      </c>
      <c r="I64" s="45">
        <v>123</v>
      </c>
      <c r="J64" s="371" t="s">
        <v>35</v>
      </c>
      <c r="K64" s="166"/>
      <c r="L64" s="45">
        <v>2</v>
      </c>
      <c r="M64" s="45"/>
      <c r="N64" s="178">
        <v>2</v>
      </c>
      <c r="O64" s="178"/>
      <c r="P64" s="45"/>
      <c r="Q64" s="45"/>
      <c r="R64" s="136"/>
      <c r="S64" s="136"/>
      <c r="T64" s="45"/>
      <c r="U64" s="45"/>
      <c r="V64" s="178"/>
      <c r="W64" s="178"/>
      <c r="X64" s="45"/>
      <c r="Y64" s="45"/>
      <c r="Z64" s="45"/>
      <c r="AA64" s="142"/>
      <c r="AB64" s="142"/>
      <c r="AC64" s="45"/>
      <c r="AD64" s="45"/>
      <c r="AE64" s="178"/>
      <c r="AF64" s="178"/>
      <c r="AG64" s="45"/>
      <c r="AH64" s="45"/>
      <c r="AI64" s="142"/>
      <c r="AJ64" s="142"/>
      <c r="AK64" s="45"/>
      <c r="AL64" s="45"/>
      <c r="AM64" s="178"/>
      <c r="AN64" s="178"/>
      <c r="AO64" s="153"/>
      <c r="AP64" s="153"/>
      <c r="AQ64" s="153"/>
      <c r="AR64" s="153"/>
      <c r="AS64" s="153"/>
      <c r="AT64" s="153"/>
      <c r="AU64" s="153"/>
      <c r="AV64" s="153"/>
      <c r="AW64" s="153"/>
      <c r="AX64" s="153"/>
      <c r="AY64" s="153"/>
      <c r="AZ64" s="153"/>
      <c r="BA64" s="153"/>
      <c r="BB64" s="231"/>
      <c r="BC64" s="332" t="s">
        <v>172</v>
      </c>
      <c r="BD64" s="333"/>
    </row>
    <row r="65" spans="1:56">
      <c r="A65" s="369"/>
      <c r="B65" s="352"/>
      <c r="C65" s="352"/>
      <c r="D65" s="43">
        <f t="shared" si="3"/>
        <v>2</v>
      </c>
      <c r="E65" s="43">
        <v>0</v>
      </c>
      <c r="F65" s="43" t="s">
        <v>36</v>
      </c>
      <c r="G65" s="43">
        <v>4</v>
      </c>
      <c r="H65" s="224">
        <f>G65-SUM(K65:BA65)</f>
        <v>0</v>
      </c>
      <c r="I65" s="43">
        <v>123</v>
      </c>
      <c r="J65" s="372"/>
      <c r="K65" s="167"/>
      <c r="L65" s="43"/>
      <c r="M65" s="43">
        <v>2</v>
      </c>
      <c r="N65" s="179"/>
      <c r="O65" s="179">
        <v>2</v>
      </c>
      <c r="P65" s="43"/>
      <c r="Q65" s="43"/>
      <c r="R65" s="137"/>
      <c r="S65" s="137"/>
      <c r="T65" s="43"/>
      <c r="U65" s="43"/>
      <c r="V65" s="179"/>
      <c r="W65" s="179"/>
      <c r="X65" s="43"/>
      <c r="Y65" s="43"/>
      <c r="Z65" s="43"/>
      <c r="AA65" s="143"/>
      <c r="AB65" s="143"/>
      <c r="AC65" s="43"/>
      <c r="AD65" s="43"/>
      <c r="AE65" s="179"/>
      <c r="AF65" s="179"/>
      <c r="AG65" s="43"/>
      <c r="AH65" s="43"/>
      <c r="AI65" s="143"/>
      <c r="AJ65" s="143"/>
      <c r="AK65" s="43"/>
      <c r="AL65" s="43"/>
      <c r="AM65" s="179"/>
      <c r="AN65" s="179"/>
      <c r="AO65" s="156"/>
      <c r="AP65" s="156"/>
      <c r="AQ65" s="156"/>
      <c r="AR65" s="156"/>
      <c r="AS65" s="156"/>
      <c r="AT65" s="156"/>
      <c r="AU65" s="156"/>
      <c r="AV65" s="156"/>
      <c r="AW65" s="156"/>
      <c r="AX65" s="156"/>
      <c r="AY65" s="156"/>
      <c r="AZ65" s="156"/>
      <c r="BA65" s="156"/>
      <c r="BB65" s="232"/>
      <c r="BC65" s="334"/>
      <c r="BD65" s="335"/>
    </row>
    <row r="66" spans="1:56">
      <c r="A66" s="369"/>
      <c r="B66" s="352"/>
      <c r="C66" s="373" t="s">
        <v>173</v>
      </c>
      <c r="D66" s="43">
        <f t="shared" si="3"/>
        <v>2</v>
      </c>
      <c r="E66" s="43">
        <v>0</v>
      </c>
      <c r="F66" s="43" t="s">
        <v>33</v>
      </c>
      <c r="G66" s="43">
        <v>4</v>
      </c>
      <c r="H66" s="224">
        <f>G66-SUM(K66:BA66)</f>
        <v>0</v>
      </c>
      <c r="I66" s="43">
        <v>123</v>
      </c>
      <c r="J66" s="372"/>
      <c r="K66" s="167"/>
      <c r="L66" s="43"/>
      <c r="M66" s="43"/>
      <c r="N66" s="179"/>
      <c r="O66" s="179"/>
      <c r="P66" s="43">
        <v>2</v>
      </c>
      <c r="Q66" s="43"/>
      <c r="R66" s="137"/>
      <c r="S66" s="137"/>
      <c r="T66" s="43">
        <v>2</v>
      </c>
      <c r="U66" s="43"/>
      <c r="V66" s="179"/>
      <c r="W66" s="179"/>
      <c r="X66" s="43"/>
      <c r="Y66" s="43"/>
      <c r="Z66" s="43"/>
      <c r="AA66" s="143"/>
      <c r="AB66" s="143"/>
      <c r="AC66" s="43"/>
      <c r="AD66" s="43"/>
      <c r="AE66" s="179"/>
      <c r="AF66" s="179"/>
      <c r="AG66" s="43"/>
      <c r="AH66" s="43"/>
      <c r="AI66" s="143"/>
      <c r="AJ66" s="143"/>
      <c r="AK66" s="43"/>
      <c r="AL66" s="43"/>
      <c r="AM66" s="179"/>
      <c r="AN66" s="179"/>
      <c r="AO66" s="156"/>
      <c r="AP66" s="156"/>
      <c r="AQ66" s="156"/>
      <c r="AR66" s="156"/>
      <c r="AS66" s="156"/>
      <c r="AT66" s="156"/>
      <c r="AU66" s="156"/>
      <c r="AV66" s="156"/>
      <c r="AW66" s="156"/>
      <c r="AX66" s="156"/>
      <c r="AY66" s="156"/>
      <c r="AZ66" s="156"/>
      <c r="BA66" s="156"/>
      <c r="BB66" s="232"/>
      <c r="BC66" s="334"/>
      <c r="BD66" s="335"/>
    </row>
    <row r="67" spans="1:56">
      <c r="A67" s="369"/>
      <c r="B67" s="352"/>
      <c r="C67" s="354"/>
      <c r="D67" s="43">
        <f t="shared" si="3"/>
        <v>2</v>
      </c>
      <c r="E67" s="43">
        <v>0</v>
      </c>
      <c r="F67" s="43" t="s">
        <v>36</v>
      </c>
      <c r="G67" s="43">
        <v>4</v>
      </c>
      <c r="H67" s="224">
        <f t="shared" si="2"/>
        <v>0</v>
      </c>
      <c r="I67" s="43">
        <v>123</v>
      </c>
      <c r="J67" s="372"/>
      <c r="K67" s="167"/>
      <c r="L67" s="43"/>
      <c r="M67" s="43"/>
      <c r="N67" s="179"/>
      <c r="O67" s="179"/>
      <c r="P67" s="43"/>
      <c r="Q67" s="43">
        <v>2</v>
      </c>
      <c r="R67" s="137"/>
      <c r="S67" s="137"/>
      <c r="T67" s="43"/>
      <c r="U67" s="43">
        <v>2</v>
      </c>
      <c r="V67" s="179"/>
      <c r="W67" s="179"/>
      <c r="X67" s="43"/>
      <c r="Y67" s="43"/>
      <c r="Z67" s="43"/>
      <c r="AA67" s="143"/>
      <c r="AB67" s="143"/>
      <c r="AC67" s="43"/>
      <c r="AD67" s="43"/>
      <c r="AE67" s="179"/>
      <c r="AF67" s="179"/>
      <c r="AG67" s="43"/>
      <c r="AH67" s="43"/>
      <c r="AI67" s="143"/>
      <c r="AJ67" s="143"/>
      <c r="AK67" s="43"/>
      <c r="AL67" s="43"/>
      <c r="AM67" s="179"/>
      <c r="AN67" s="179"/>
      <c r="AO67" s="156"/>
      <c r="AP67" s="156"/>
      <c r="AQ67" s="156"/>
      <c r="AR67" s="156"/>
      <c r="AS67" s="156"/>
      <c r="AT67" s="156"/>
      <c r="AU67" s="156"/>
      <c r="AV67" s="156"/>
      <c r="AW67" s="156"/>
      <c r="AX67" s="156"/>
      <c r="AY67" s="156"/>
      <c r="AZ67" s="156"/>
      <c r="BA67" s="156"/>
      <c r="BB67" s="232"/>
      <c r="BC67" s="334"/>
      <c r="BD67" s="335"/>
    </row>
    <row r="68" spans="1:56">
      <c r="A68" s="369"/>
      <c r="B68" s="352"/>
      <c r="C68" s="373" t="s">
        <v>174</v>
      </c>
      <c r="D68" s="43">
        <f t="shared" si="3"/>
        <v>4</v>
      </c>
      <c r="E68" s="43">
        <v>1</v>
      </c>
      <c r="F68" s="43" t="s">
        <v>33</v>
      </c>
      <c r="G68" s="43">
        <v>8</v>
      </c>
      <c r="H68" s="224">
        <f t="shared" si="2"/>
        <v>0</v>
      </c>
      <c r="I68" s="43">
        <v>123</v>
      </c>
      <c r="J68" s="372" t="s">
        <v>37</v>
      </c>
      <c r="K68" s="167"/>
      <c r="L68" s="43">
        <v>2</v>
      </c>
      <c r="M68" s="43">
        <v>2</v>
      </c>
      <c r="N68" s="179"/>
      <c r="O68" s="179"/>
      <c r="P68" s="43">
        <v>2</v>
      </c>
      <c r="Q68" s="43">
        <v>2</v>
      </c>
      <c r="R68" s="137"/>
      <c r="S68" s="137"/>
      <c r="T68" s="43"/>
      <c r="U68" s="43"/>
      <c r="V68" s="179"/>
      <c r="W68" s="179"/>
      <c r="X68" s="43"/>
      <c r="Y68" s="43"/>
      <c r="Z68" s="43"/>
      <c r="AA68" s="143"/>
      <c r="AB68" s="143"/>
      <c r="AC68" s="43"/>
      <c r="AD68" s="43"/>
      <c r="AE68" s="179"/>
      <c r="AF68" s="179"/>
      <c r="AG68" s="43"/>
      <c r="AH68" s="43"/>
      <c r="AI68" s="143"/>
      <c r="AJ68" s="143"/>
      <c r="AK68" s="43"/>
      <c r="AL68" s="43"/>
      <c r="AM68" s="179"/>
      <c r="AN68" s="179"/>
      <c r="AO68" s="43"/>
      <c r="AP68" s="43"/>
      <c r="AQ68" s="143"/>
      <c r="AR68" s="143"/>
      <c r="AS68" s="43"/>
      <c r="AT68" s="43"/>
      <c r="AU68" s="179"/>
      <c r="AV68" s="179"/>
      <c r="AW68" s="179"/>
      <c r="AX68" s="179"/>
      <c r="AY68" s="43"/>
      <c r="AZ68" s="43"/>
      <c r="BA68" s="179"/>
      <c r="BB68" s="233"/>
      <c r="BC68" s="334"/>
      <c r="BD68" s="335"/>
    </row>
    <row r="69" spans="1:56">
      <c r="A69" s="369"/>
      <c r="B69" s="352"/>
      <c r="C69" s="354"/>
      <c r="D69" s="43">
        <f t="shared" si="3"/>
        <v>4</v>
      </c>
      <c r="E69" s="43">
        <v>1</v>
      </c>
      <c r="F69" s="43" t="s">
        <v>36</v>
      </c>
      <c r="G69" s="43">
        <v>8</v>
      </c>
      <c r="H69" s="224">
        <f t="shared" si="2"/>
        <v>0</v>
      </c>
      <c r="I69" s="43">
        <v>123</v>
      </c>
      <c r="J69" s="372"/>
      <c r="K69" s="167"/>
      <c r="L69" s="43"/>
      <c r="M69" s="43"/>
      <c r="N69" s="179"/>
      <c r="O69" s="179"/>
      <c r="P69" s="43"/>
      <c r="Q69" s="43"/>
      <c r="R69" s="137"/>
      <c r="S69" s="137"/>
      <c r="T69" s="43">
        <v>2</v>
      </c>
      <c r="U69" s="43">
        <v>2</v>
      </c>
      <c r="V69" s="179"/>
      <c r="W69" s="179"/>
      <c r="X69" s="43">
        <v>2</v>
      </c>
      <c r="Y69" s="43">
        <v>2</v>
      </c>
      <c r="Z69" s="43"/>
      <c r="AA69" s="143"/>
      <c r="AB69" s="143"/>
      <c r="AC69" s="43"/>
      <c r="AD69" s="43"/>
      <c r="AE69" s="179"/>
      <c r="AF69" s="179"/>
      <c r="AG69" s="43"/>
      <c r="AH69" s="43"/>
      <c r="AI69" s="143"/>
      <c r="AJ69" s="143"/>
      <c r="AK69" s="43"/>
      <c r="AL69" s="43"/>
      <c r="AM69" s="179"/>
      <c r="AN69" s="179"/>
      <c r="AO69" s="43"/>
      <c r="AP69" s="43"/>
      <c r="AQ69" s="143"/>
      <c r="AR69" s="143"/>
      <c r="AS69" s="43"/>
      <c r="AT69" s="43"/>
      <c r="AU69" s="179"/>
      <c r="AV69" s="179"/>
      <c r="AW69" s="179"/>
      <c r="AX69" s="179"/>
      <c r="AY69" s="43"/>
      <c r="AZ69" s="43"/>
      <c r="BA69" s="179"/>
      <c r="BB69" s="233"/>
      <c r="BC69" s="334"/>
      <c r="BD69" s="335"/>
    </row>
    <row r="70" spans="1:56">
      <c r="A70" s="369"/>
      <c r="B70" s="352" t="s">
        <v>175</v>
      </c>
      <c r="C70" s="352" t="s">
        <v>73</v>
      </c>
      <c r="D70" s="43">
        <f t="shared" si="3"/>
        <v>2</v>
      </c>
      <c r="E70" s="43">
        <v>2</v>
      </c>
      <c r="F70" s="43" t="s">
        <v>33</v>
      </c>
      <c r="G70" s="43">
        <v>3</v>
      </c>
      <c r="H70" s="224">
        <f t="shared" ref="H70:H120" si="4">G70-SUM(K70:BA70)</f>
        <v>0</v>
      </c>
      <c r="I70" s="43" t="s">
        <v>34</v>
      </c>
      <c r="J70" s="372" t="s">
        <v>74</v>
      </c>
      <c r="K70" s="167"/>
      <c r="L70" s="43"/>
      <c r="M70" s="43"/>
      <c r="N70" s="179"/>
      <c r="O70" s="179"/>
      <c r="P70" s="43">
        <v>1.5</v>
      </c>
      <c r="Q70" s="43">
        <v>1.5</v>
      </c>
      <c r="R70" s="137"/>
      <c r="S70" s="137"/>
      <c r="T70" s="43"/>
      <c r="U70" s="43"/>
      <c r="V70" s="179"/>
      <c r="W70" s="179"/>
      <c r="X70" s="43"/>
      <c r="Y70" s="43"/>
      <c r="Z70" s="43"/>
      <c r="AA70" s="143"/>
      <c r="AB70" s="143"/>
      <c r="AC70" s="43"/>
      <c r="AD70" s="43"/>
      <c r="AE70" s="179"/>
      <c r="AF70" s="179"/>
      <c r="AG70" s="43"/>
      <c r="AH70" s="43"/>
      <c r="AI70" s="143"/>
      <c r="AJ70" s="143"/>
      <c r="AK70" s="43"/>
      <c r="AL70" s="43"/>
      <c r="AM70" s="179"/>
      <c r="AN70" s="179"/>
      <c r="AO70" s="43"/>
      <c r="AP70" s="43"/>
      <c r="AQ70" s="143"/>
      <c r="AR70" s="143"/>
      <c r="AS70" s="43"/>
      <c r="AT70" s="43"/>
      <c r="AU70" s="179"/>
      <c r="AV70" s="179"/>
      <c r="AW70" s="179"/>
      <c r="AX70" s="179"/>
      <c r="AY70" s="43"/>
      <c r="AZ70" s="43"/>
      <c r="BA70" s="179"/>
      <c r="BB70" s="233"/>
      <c r="BC70" s="334"/>
      <c r="BD70" s="335"/>
    </row>
    <row r="71" spans="1:56">
      <c r="A71" s="369"/>
      <c r="B71" s="352"/>
      <c r="C71" s="352"/>
      <c r="D71" s="43">
        <f t="shared" ref="D71:D120" si="5">COUNT(K71:BA71)</f>
        <v>2</v>
      </c>
      <c r="E71" s="43">
        <v>2</v>
      </c>
      <c r="F71" s="43" t="s">
        <v>36</v>
      </c>
      <c r="G71" s="43">
        <v>3</v>
      </c>
      <c r="H71" s="224">
        <f t="shared" si="4"/>
        <v>0</v>
      </c>
      <c r="I71" s="43" t="s">
        <v>34</v>
      </c>
      <c r="J71" s="372"/>
      <c r="K71" s="167"/>
      <c r="L71" s="43"/>
      <c r="M71" s="43"/>
      <c r="N71" s="179"/>
      <c r="O71" s="179"/>
      <c r="P71" s="43">
        <v>1.5</v>
      </c>
      <c r="Q71" s="43">
        <v>1.5</v>
      </c>
      <c r="R71" s="137"/>
      <c r="S71" s="137"/>
      <c r="T71" s="43"/>
      <c r="U71" s="43"/>
      <c r="V71" s="179"/>
      <c r="W71" s="179"/>
      <c r="X71" s="43"/>
      <c r="Y71" s="43"/>
      <c r="Z71" s="43"/>
      <c r="AA71" s="143"/>
      <c r="AB71" s="143"/>
      <c r="AC71" s="43"/>
      <c r="AD71" s="43"/>
      <c r="AE71" s="179"/>
      <c r="AF71" s="179"/>
      <c r="AG71" s="43"/>
      <c r="AH71" s="43"/>
      <c r="AI71" s="143"/>
      <c r="AJ71" s="143"/>
      <c r="AK71" s="43"/>
      <c r="AL71" s="43"/>
      <c r="AM71" s="179"/>
      <c r="AN71" s="179"/>
      <c r="AO71" s="43"/>
      <c r="AP71" s="43"/>
      <c r="AQ71" s="143"/>
      <c r="AR71" s="143"/>
      <c r="AS71" s="43"/>
      <c r="AT71" s="43"/>
      <c r="AU71" s="179"/>
      <c r="AV71" s="179"/>
      <c r="AW71" s="179"/>
      <c r="AX71" s="179"/>
      <c r="AY71" s="43"/>
      <c r="AZ71" s="43"/>
      <c r="BA71" s="179"/>
      <c r="BB71" s="233"/>
      <c r="BC71" s="334"/>
      <c r="BD71" s="335"/>
    </row>
    <row r="72" spans="1:56">
      <c r="A72" s="369"/>
      <c r="B72" s="352"/>
      <c r="C72" s="352"/>
      <c r="D72" s="43">
        <f t="shared" si="5"/>
        <v>2</v>
      </c>
      <c r="E72" s="43">
        <v>0</v>
      </c>
      <c r="F72" s="43" t="s">
        <v>39</v>
      </c>
      <c r="G72" s="43">
        <v>6</v>
      </c>
      <c r="H72" s="224">
        <f t="shared" si="4"/>
        <v>0</v>
      </c>
      <c r="I72" s="43">
        <v>124</v>
      </c>
      <c r="J72" s="151" t="s">
        <v>35</v>
      </c>
      <c r="K72" s="167"/>
      <c r="L72" s="43"/>
      <c r="M72" s="43"/>
      <c r="N72" s="179"/>
      <c r="O72" s="179"/>
      <c r="P72" s="43"/>
      <c r="Q72" s="43"/>
      <c r="R72" s="137"/>
      <c r="S72" s="137"/>
      <c r="T72" s="43"/>
      <c r="U72" s="43"/>
      <c r="V72" s="179"/>
      <c r="W72" s="179"/>
      <c r="X72" s="43"/>
      <c r="Y72" s="43">
        <v>3</v>
      </c>
      <c r="Z72" s="43">
        <v>3</v>
      </c>
      <c r="AA72" s="143"/>
      <c r="AB72" s="143"/>
      <c r="AC72" s="43"/>
      <c r="AD72" s="43"/>
      <c r="AE72" s="179"/>
      <c r="AF72" s="179"/>
      <c r="AG72" s="43"/>
      <c r="AH72" s="43"/>
      <c r="AI72" s="143"/>
      <c r="AJ72" s="143"/>
      <c r="AK72" s="43"/>
      <c r="AL72" s="43"/>
      <c r="AM72" s="179"/>
      <c r="AN72" s="179"/>
      <c r="AO72" s="156"/>
      <c r="AP72" s="156"/>
      <c r="AQ72" s="156"/>
      <c r="AR72" s="156"/>
      <c r="AS72" s="156"/>
      <c r="AT72" s="156"/>
      <c r="AU72" s="156"/>
      <c r="AV72" s="156"/>
      <c r="AW72" s="156"/>
      <c r="AX72" s="156"/>
      <c r="AY72" s="156"/>
      <c r="AZ72" s="156"/>
      <c r="BA72" s="156"/>
      <c r="BB72" s="232"/>
      <c r="BC72" s="334"/>
      <c r="BD72" s="335"/>
    </row>
    <row r="73" spans="1:56" ht="15.75" thickBot="1">
      <c r="A73" s="370"/>
      <c r="B73" s="355"/>
      <c r="C73" s="355"/>
      <c r="D73" s="46">
        <f t="shared" si="5"/>
        <v>2</v>
      </c>
      <c r="E73" s="46">
        <v>1</v>
      </c>
      <c r="F73" s="46" t="s">
        <v>39</v>
      </c>
      <c r="G73" s="46">
        <v>6</v>
      </c>
      <c r="H73" s="225">
        <f t="shared" si="4"/>
        <v>0</v>
      </c>
      <c r="I73" s="46">
        <v>124</v>
      </c>
      <c r="J73" s="152" t="s">
        <v>37</v>
      </c>
      <c r="K73" s="168"/>
      <c r="L73" s="46"/>
      <c r="M73" s="46"/>
      <c r="N73" s="180"/>
      <c r="O73" s="180"/>
      <c r="P73" s="46"/>
      <c r="Q73" s="46"/>
      <c r="R73" s="138"/>
      <c r="S73" s="138"/>
      <c r="T73" s="46"/>
      <c r="U73" s="46"/>
      <c r="V73" s="180"/>
      <c r="W73" s="180"/>
      <c r="X73" s="46"/>
      <c r="Y73" s="46"/>
      <c r="Z73" s="46"/>
      <c r="AA73" s="144"/>
      <c r="AB73" s="144"/>
      <c r="AC73" s="46">
        <v>3</v>
      </c>
      <c r="AD73" s="46">
        <v>3</v>
      </c>
      <c r="AE73" s="180"/>
      <c r="AF73" s="180"/>
      <c r="AG73" s="46"/>
      <c r="AH73" s="46"/>
      <c r="AI73" s="144"/>
      <c r="AJ73" s="144"/>
      <c r="AK73" s="46"/>
      <c r="AL73" s="46"/>
      <c r="AM73" s="180"/>
      <c r="AN73" s="180"/>
      <c r="AO73" s="46"/>
      <c r="AP73" s="46"/>
      <c r="AQ73" s="144"/>
      <c r="AR73" s="144"/>
      <c r="AS73" s="46"/>
      <c r="AT73" s="46"/>
      <c r="AU73" s="180"/>
      <c r="AV73" s="180"/>
      <c r="AW73" s="180"/>
      <c r="AX73" s="180"/>
      <c r="AY73" s="46"/>
      <c r="AZ73" s="46"/>
      <c r="BA73" s="180"/>
      <c r="BB73" s="235"/>
      <c r="BC73" s="336"/>
      <c r="BD73" s="337"/>
    </row>
    <row r="74" spans="1:56" ht="15.75" customHeight="1" thickTop="1">
      <c r="A74" s="368" t="s">
        <v>176</v>
      </c>
      <c r="B74" s="351" t="s">
        <v>177</v>
      </c>
      <c r="C74" s="363" t="s">
        <v>178</v>
      </c>
      <c r="D74" s="45">
        <f t="shared" si="5"/>
        <v>2</v>
      </c>
      <c r="E74" s="45">
        <v>0</v>
      </c>
      <c r="F74" s="45" t="s">
        <v>33</v>
      </c>
      <c r="G74" s="45">
        <v>3</v>
      </c>
      <c r="H74" s="223">
        <f t="shared" si="4"/>
        <v>0</v>
      </c>
      <c r="I74" s="45" t="s">
        <v>34</v>
      </c>
      <c r="J74" s="371" t="s">
        <v>35</v>
      </c>
      <c r="K74" s="166"/>
      <c r="L74" s="45"/>
      <c r="M74" s="45"/>
      <c r="N74" s="178"/>
      <c r="O74" s="178"/>
      <c r="P74" s="45"/>
      <c r="Q74" s="45"/>
      <c r="R74" s="136"/>
      <c r="S74" s="136"/>
      <c r="T74" s="45"/>
      <c r="U74" s="45"/>
      <c r="V74" s="178"/>
      <c r="W74" s="178"/>
      <c r="X74" s="45">
        <v>1.5</v>
      </c>
      <c r="Y74" s="45">
        <v>1.5</v>
      </c>
      <c r="Z74" s="45"/>
      <c r="AA74" s="142"/>
      <c r="AB74" s="142"/>
      <c r="AC74" s="45"/>
      <c r="AD74" s="45"/>
      <c r="AE74" s="178"/>
      <c r="AF74" s="178"/>
      <c r="AG74" s="45"/>
      <c r="AH74" s="45"/>
      <c r="AI74" s="142"/>
      <c r="AJ74" s="142"/>
      <c r="AK74" s="45"/>
      <c r="AL74" s="45"/>
      <c r="AM74" s="178"/>
      <c r="AN74" s="178"/>
      <c r="AO74" s="153"/>
      <c r="AP74" s="153"/>
      <c r="AQ74" s="153"/>
      <c r="AR74" s="153"/>
      <c r="AS74" s="153"/>
      <c r="AT74" s="153"/>
      <c r="AU74" s="153"/>
      <c r="AV74" s="153"/>
      <c r="AW74" s="153"/>
      <c r="AX74" s="153"/>
      <c r="AY74" s="153"/>
      <c r="AZ74" s="153"/>
      <c r="BA74" s="153"/>
      <c r="BB74" s="231"/>
      <c r="BC74" s="338" t="s">
        <v>179</v>
      </c>
      <c r="BD74" s="339"/>
    </row>
    <row r="75" spans="1:56">
      <c r="A75" s="369"/>
      <c r="B75" s="352"/>
      <c r="C75" s="349"/>
      <c r="D75" s="43">
        <f t="shared" si="5"/>
        <v>2</v>
      </c>
      <c r="E75" s="43">
        <v>0</v>
      </c>
      <c r="F75" s="43" t="s">
        <v>36</v>
      </c>
      <c r="G75" s="43">
        <v>3</v>
      </c>
      <c r="H75" s="224">
        <f t="shared" si="4"/>
        <v>0</v>
      </c>
      <c r="I75" s="43" t="s">
        <v>34</v>
      </c>
      <c r="J75" s="372"/>
      <c r="K75" s="167"/>
      <c r="L75" s="43"/>
      <c r="M75" s="43"/>
      <c r="N75" s="179"/>
      <c r="O75" s="179"/>
      <c r="P75" s="43"/>
      <c r="Q75" s="43"/>
      <c r="R75" s="137"/>
      <c r="S75" s="137"/>
      <c r="T75" s="43"/>
      <c r="U75" s="43"/>
      <c r="V75" s="179"/>
      <c r="W75" s="179"/>
      <c r="X75" s="43">
        <v>1.5</v>
      </c>
      <c r="Y75" s="43">
        <v>1.5</v>
      </c>
      <c r="Z75" s="43"/>
      <c r="AA75" s="143"/>
      <c r="AB75" s="143"/>
      <c r="AC75" s="43"/>
      <c r="AD75" s="43"/>
      <c r="AE75" s="179"/>
      <c r="AF75" s="179"/>
      <c r="AG75" s="43"/>
      <c r="AH75" s="43"/>
      <c r="AI75" s="143"/>
      <c r="AJ75" s="143"/>
      <c r="AK75" s="43"/>
      <c r="AL75" s="43"/>
      <c r="AM75" s="179"/>
      <c r="AN75" s="179"/>
      <c r="AO75" s="156"/>
      <c r="AP75" s="156"/>
      <c r="AQ75" s="156"/>
      <c r="AR75" s="156"/>
      <c r="AS75" s="156"/>
      <c r="AT75" s="156"/>
      <c r="AU75" s="156"/>
      <c r="AV75" s="156"/>
      <c r="AW75" s="156"/>
      <c r="AX75" s="156"/>
      <c r="AY75" s="156"/>
      <c r="AZ75" s="156"/>
      <c r="BA75" s="156"/>
      <c r="BB75" s="232"/>
      <c r="BC75" s="340"/>
      <c r="BD75" s="341"/>
    </row>
    <row r="76" spans="1:56">
      <c r="A76" s="369"/>
      <c r="B76" s="352"/>
      <c r="C76" s="354"/>
      <c r="D76" s="43">
        <f t="shared" si="5"/>
        <v>1</v>
      </c>
      <c r="E76" s="43">
        <v>0</v>
      </c>
      <c r="F76" s="43" t="s">
        <v>39</v>
      </c>
      <c r="G76" s="43">
        <v>3</v>
      </c>
      <c r="H76" s="224">
        <f t="shared" si="4"/>
        <v>0</v>
      </c>
      <c r="I76" s="43">
        <v>127</v>
      </c>
      <c r="J76" s="372"/>
      <c r="K76" s="167"/>
      <c r="L76" s="43"/>
      <c r="M76" s="43"/>
      <c r="N76" s="179"/>
      <c r="O76" s="179"/>
      <c r="P76" s="43"/>
      <c r="Q76" s="43"/>
      <c r="R76" s="137"/>
      <c r="S76" s="137"/>
      <c r="T76" s="43"/>
      <c r="U76" s="43"/>
      <c r="V76" s="179"/>
      <c r="W76" s="179"/>
      <c r="X76" s="43"/>
      <c r="Y76" s="43"/>
      <c r="Z76" s="43">
        <v>3</v>
      </c>
      <c r="AA76" s="143"/>
      <c r="AB76" s="143"/>
      <c r="AC76" s="43"/>
      <c r="AD76" s="43"/>
      <c r="AE76" s="179"/>
      <c r="AF76" s="179"/>
      <c r="AG76" s="43"/>
      <c r="AH76" s="43"/>
      <c r="AI76" s="143"/>
      <c r="AJ76" s="143"/>
      <c r="AK76" s="43"/>
      <c r="AL76" s="43"/>
      <c r="AM76" s="179"/>
      <c r="AN76" s="179"/>
      <c r="AO76" s="156"/>
      <c r="AP76" s="156"/>
      <c r="AQ76" s="156"/>
      <c r="AR76" s="156"/>
      <c r="AS76" s="156"/>
      <c r="AT76" s="156"/>
      <c r="AU76" s="156"/>
      <c r="AV76" s="156"/>
      <c r="AW76" s="156"/>
      <c r="AX76" s="156"/>
      <c r="AY76" s="156"/>
      <c r="AZ76" s="156"/>
      <c r="BA76" s="156"/>
      <c r="BB76" s="232"/>
      <c r="BC76" s="340"/>
      <c r="BD76" s="341"/>
    </row>
    <row r="77" spans="1:56">
      <c r="A77" s="369"/>
      <c r="B77" s="352"/>
      <c r="C77" s="373" t="s">
        <v>180</v>
      </c>
      <c r="D77" s="43">
        <f t="shared" si="5"/>
        <v>1</v>
      </c>
      <c r="E77" s="43">
        <v>1</v>
      </c>
      <c r="F77" s="49" t="s">
        <v>33</v>
      </c>
      <c r="G77" s="43">
        <v>3</v>
      </c>
      <c r="H77" s="224">
        <f t="shared" si="4"/>
        <v>0</v>
      </c>
      <c r="I77" s="43" t="s">
        <v>34</v>
      </c>
      <c r="J77" s="372" t="s">
        <v>37</v>
      </c>
      <c r="K77" s="167"/>
      <c r="L77" s="43"/>
      <c r="M77" s="43"/>
      <c r="N77" s="179"/>
      <c r="O77" s="179"/>
      <c r="P77" s="43"/>
      <c r="Q77" s="43"/>
      <c r="R77" s="137"/>
      <c r="S77" s="137"/>
      <c r="T77" s="43"/>
      <c r="U77" s="43"/>
      <c r="V77" s="179"/>
      <c r="W77" s="179"/>
      <c r="X77" s="43">
        <v>3</v>
      </c>
      <c r="Y77" s="43"/>
      <c r="Z77" s="43"/>
      <c r="AA77" s="143"/>
      <c r="AB77" s="143"/>
      <c r="AC77" s="43"/>
      <c r="AD77" s="43"/>
      <c r="AE77" s="179"/>
      <c r="AF77" s="179"/>
      <c r="AG77" s="43"/>
      <c r="AH77" s="43"/>
      <c r="AI77" s="143"/>
      <c r="AJ77" s="143"/>
      <c r="AK77" s="43"/>
      <c r="AL77" s="43"/>
      <c r="AM77" s="179"/>
      <c r="AN77" s="179"/>
      <c r="AO77" s="43"/>
      <c r="AP77" s="43"/>
      <c r="AQ77" s="143"/>
      <c r="AR77" s="143"/>
      <c r="AS77" s="43"/>
      <c r="AT77" s="43"/>
      <c r="AU77" s="179"/>
      <c r="AV77" s="179"/>
      <c r="AW77" s="179"/>
      <c r="AX77" s="179"/>
      <c r="AY77" s="43"/>
      <c r="AZ77" s="43"/>
      <c r="BA77" s="179"/>
      <c r="BB77" s="233"/>
      <c r="BC77" s="340"/>
      <c r="BD77" s="341"/>
    </row>
    <row r="78" spans="1:56">
      <c r="A78" s="369"/>
      <c r="B78" s="352"/>
      <c r="C78" s="349"/>
      <c r="D78" s="43">
        <f t="shared" si="5"/>
        <v>1</v>
      </c>
      <c r="E78" s="43">
        <v>1</v>
      </c>
      <c r="F78" s="43" t="s">
        <v>36</v>
      </c>
      <c r="G78" s="43">
        <v>3</v>
      </c>
      <c r="H78" s="224">
        <f t="shared" si="4"/>
        <v>0</v>
      </c>
      <c r="I78" s="43" t="s">
        <v>34</v>
      </c>
      <c r="J78" s="372"/>
      <c r="K78" s="167"/>
      <c r="L78" s="43"/>
      <c r="M78" s="43"/>
      <c r="N78" s="179"/>
      <c r="O78" s="179"/>
      <c r="P78" s="43"/>
      <c r="Q78" s="43"/>
      <c r="R78" s="137"/>
      <c r="S78" s="137"/>
      <c r="T78" s="43"/>
      <c r="U78" s="43"/>
      <c r="V78" s="179"/>
      <c r="W78" s="179"/>
      <c r="X78" s="43">
        <v>3</v>
      </c>
      <c r="Y78" s="43"/>
      <c r="Z78" s="43"/>
      <c r="AA78" s="143"/>
      <c r="AB78" s="143"/>
      <c r="AC78" s="43"/>
      <c r="AD78" s="43"/>
      <c r="AE78" s="179"/>
      <c r="AF78" s="179"/>
      <c r="AG78" s="43"/>
      <c r="AH78" s="43"/>
      <c r="AI78" s="143"/>
      <c r="AJ78" s="143"/>
      <c r="AK78" s="43"/>
      <c r="AL78" s="43"/>
      <c r="AM78" s="179"/>
      <c r="AN78" s="179"/>
      <c r="AO78" s="43"/>
      <c r="AP78" s="43"/>
      <c r="AQ78" s="143"/>
      <c r="AR78" s="143"/>
      <c r="AS78" s="43"/>
      <c r="AT78" s="43"/>
      <c r="AU78" s="179"/>
      <c r="AV78" s="179"/>
      <c r="AW78" s="179"/>
      <c r="AX78" s="179"/>
      <c r="AY78" s="43"/>
      <c r="AZ78" s="43"/>
      <c r="BA78" s="179"/>
      <c r="BB78" s="233"/>
      <c r="BC78" s="340"/>
      <c r="BD78" s="341"/>
    </row>
    <row r="79" spans="1:56" ht="15.75" thickBot="1">
      <c r="A79" s="370"/>
      <c r="B79" s="355"/>
      <c r="C79" s="350"/>
      <c r="D79" s="46">
        <f t="shared" si="5"/>
        <v>1</v>
      </c>
      <c r="E79" s="46">
        <v>1</v>
      </c>
      <c r="F79" s="46" t="s">
        <v>39</v>
      </c>
      <c r="G79" s="46">
        <v>3</v>
      </c>
      <c r="H79" s="225">
        <f t="shared" si="4"/>
        <v>0</v>
      </c>
      <c r="I79" s="46">
        <v>127</v>
      </c>
      <c r="J79" s="376"/>
      <c r="K79" s="168"/>
      <c r="L79" s="46"/>
      <c r="M79" s="46"/>
      <c r="N79" s="180"/>
      <c r="O79" s="180"/>
      <c r="P79" s="46"/>
      <c r="Q79" s="46"/>
      <c r="R79" s="138"/>
      <c r="S79" s="138"/>
      <c r="T79" s="46"/>
      <c r="U79" s="46"/>
      <c r="V79" s="180"/>
      <c r="W79" s="180"/>
      <c r="X79" s="46"/>
      <c r="Y79" s="46"/>
      <c r="Z79" s="46"/>
      <c r="AA79" s="144"/>
      <c r="AB79" s="144"/>
      <c r="AC79" s="46"/>
      <c r="AD79" s="46">
        <v>3</v>
      </c>
      <c r="AE79" s="180"/>
      <c r="AF79" s="180"/>
      <c r="AG79" s="46"/>
      <c r="AH79" s="46"/>
      <c r="AI79" s="144"/>
      <c r="AJ79" s="144"/>
      <c r="AK79" s="46"/>
      <c r="AL79" s="46"/>
      <c r="AM79" s="180"/>
      <c r="AN79" s="180"/>
      <c r="AO79" s="46"/>
      <c r="AP79" s="46"/>
      <c r="AQ79" s="144"/>
      <c r="AR79" s="144"/>
      <c r="AS79" s="46"/>
      <c r="AT79" s="46"/>
      <c r="AU79" s="180"/>
      <c r="AV79" s="180"/>
      <c r="AW79" s="180"/>
      <c r="AX79" s="180"/>
      <c r="AY79" s="46"/>
      <c r="AZ79" s="46"/>
      <c r="BA79" s="180"/>
      <c r="BB79" s="235"/>
      <c r="BC79" s="342"/>
      <c r="BD79" s="343"/>
    </row>
    <row r="80" spans="1:56" ht="15.75" thickTop="1">
      <c r="A80" s="358" t="s">
        <v>181</v>
      </c>
      <c r="B80" s="319" t="s">
        <v>182</v>
      </c>
      <c r="C80" s="319" t="s">
        <v>75</v>
      </c>
      <c r="D80" s="50">
        <f t="shared" si="5"/>
        <v>4</v>
      </c>
      <c r="E80" s="50">
        <v>0</v>
      </c>
      <c r="F80" s="45" t="s">
        <v>33</v>
      </c>
      <c r="G80" s="50">
        <v>6</v>
      </c>
      <c r="H80" s="223">
        <f t="shared" si="4"/>
        <v>0</v>
      </c>
      <c r="I80" s="45" t="s">
        <v>34</v>
      </c>
      <c r="J80" s="371" t="s">
        <v>35</v>
      </c>
      <c r="K80" s="169"/>
      <c r="L80" s="50">
        <v>1.5</v>
      </c>
      <c r="M80" s="50">
        <v>1.5</v>
      </c>
      <c r="N80" s="181">
        <v>1.5</v>
      </c>
      <c r="O80" s="181"/>
      <c r="P80" s="50"/>
      <c r="Q80" s="50"/>
      <c r="R80" s="139"/>
      <c r="S80" s="139"/>
      <c r="T80" s="50">
        <v>1.5</v>
      </c>
      <c r="U80" s="50"/>
      <c r="V80" s="181"/>
      <c r="W80" s="181"/>
      <c r="X80" s="50"/>
      <c r="Y80" s="50"/>
      <c r="Z80" s="50"/>
      <c r="AA80" s="145"/>
      <c r="AB80" s="145"/>
      <c r="AC80" s="50"/>
      <c r="AD80" s="50"/>
      <c r="AE80" s="181"/>
      <c r="AF80" s="181"/>
      <c r="AG80" s="50"/>
      <c r="AH80" s="50"/>
      <c r="AI80" s="145"/>
      <c r="AJ80" s="145"/>
      <c r="AK80" s="50"/>
      <c r="AL80" s="50"/>
      <c r="AM80" s="181"/>
      <c r="AN80" s="181"/>
      <c r="AO80" s="159"/>
      <c r="AP80" s="160"/>
      <c r="AQ80" s="161"/>
      <c r="AR80" s="161"/>
      <c r="AS80" s="160"/>
      <c r="AT80" s="160"/>
      <c r="AU80" s="160"/>
      <c r="AV80" s="160"/>
      <c r="AW80" s="160"/>
      <c r="AX80" s="160"/>
      <c r="AY80" s="160"/>
      <c r="AZ80" s="160"/>
      <c r="BA80" s="160"/>
      <c r="BB80" s="231"/>
      <c r="BC80" s="332"/>
      <c r="BD80" s="333"/>
    </row>
    <row r="81" spans="1:56">
      <c r="A81" s="359"/>
      <c r="B81" s="348"/>
      <c r="C81" s="348"/>
      <c r="D81" s="49">
        <f t="shared" si="5"/>
        <v>4</v>
      </c>
      <c r="E81" s="49">
        <v>0</v>
      </c>
      <c r="F81" s="43" t="s">
        <v>36</v>
      </c>
      <c r="G81" s="49">
        <v>6</v>
      </c>
      <c r="H81" s="224">
        <f t="shared" si="4"/>
        <v>0</v>
      </c>
      <c r="I81" s="43" t="s">
        <v>34</v>
      </c>
      <c r="J81" s="372"/>
      <c r="K81" s="170"/>
      <c r="L81" s="49"/>
      <c r="M81" s="49"/>
      <c r="N81" s="182"/>
      <c r="O81" s="182">
        <v>1.5</v>
      </c>
      <c r="P81" s="49">
        <v>1.5</v>
      </c>
      <c r="Q81" s="49">
        <v>1.5</v>
      </c>
      <c r="R81" s="140"/>
      <c r="S81" s="140"/>
      <c r="T81" s="49"/>
      <c r="U81" s="49">
        <v>1.5</v>
      </c>
      <c r="V81" s="182"/>
      <c r="W81" s="182"/>
      <c r="X81" s="49"/>
      <c r="Y81" s="49"/>
      <c r="Z81" s="49"/>
      <c r="AA81" s="146"/>
      <c r="AB81" s="146"/>
      <c r="AC81" s="49"/>
      <c r="AD81" s="49"/>
      <c r="AE81" s="182"/>
      <c r="AF81" s="182"/>
      <c r="AG81" s="49"/>
      <c r="AH81" s="49"/>
      <c r="AI81" s="146"/>
      <c r="AJ81" s="146"/>
      <c r="AK81" s="49"/>
      <c r="AL81" s="49"/>
      <c r="AM81" s="182"/>
      <c r="AN81" s="182"/>
      <c r="AO81" s="232"/>
      <c r="AP81" s="159"/>
      <c r="AQ81" s="162"/>
      <c r="AR81" s="162"/>
      <c r="AS81" s="159"/>
      <c r="AT81" s="159"/>
      <c r="AU81" s="159"/>
      <c r="AV81" s="159"/>
      <c r="AW81" s="159"/>
      <c r="AX81" s="159"/>
      <c r="AY81" s="159"/>
      <c r="AZ81" s="159"/>
      <c r="BA81" s="159"/>
      <c r="BB81" s="232"/>
      <c r="BC81" s="334"/>
      <c r="BD81" s="335"/>
    </row>
    <row r="82" spans="1:56">
      <c r="A82" s="359"/>
      <c r="B82" s="348"/>
      <c r="C82" s="348"/>
      <c r="D82" s="49">
        <f t="shared" si="5"/>
        <v>5</v>
      </c>
      <c r="E82" s="49">
        <v>0</v>
      </c>
      <c r="F82" s="43" t="s">
        <v>39</v>
      </c>
      <c r="G82" s="49">
        <v>10</v>
      </c>
      <c r="H82" s="224">
        <f t="shared" si="4"/>
        <v>0</v>
      </c>
      <c r="I82" s="43" t="s">
        <v>34</v>
      </c>
      <c r="J82" s="372"/>
      <c r="K82" s="170"/>
      <c r="L82" s="49"/>
      <c r="M82" s="49"/>
      <c r="N82" s="182"/>
      <c r="O82" s="182"/>
      <c r="P82" s="49"/>
      <c r="Q82" s="49"/>
      <c r="R82" s="140"/>
      <c r="S82" s="140"/>
      <c r="T82" s="49"/>
      <c r="U82" s="49"/>
      <c r="V82" s="182">
        <v>2</v>
      </c>
      <c r="W82" s="182">
        <v>2</v>
      </c>
      <c r="X82" s="49">
        <v>2</v>
      </c>
      <c r="Y82" s="49">
        <v>2</v>
      </c>
      <c r="Z82" s="49">
        <v>2</v>
      </c>
      <c r="AA82" s="146"/>
      <c r="AB82" s="146"/>
      <c r="AC82" s="49"/>
      <c r="AD82" s="49"/>
      <c r="AE82" s="182"/>
      <c r="AF82" s="182"/>
      <c r="AG82" s="49"/>
      <c r="AH82" s="49"/>
      <c r="AI82" s="146"/>
      <c r="AJ82" s="146"/>
      <c r="AK82" s="49"/>
      <c r="AL82" s="49"/>
      <c r="AM82" s="182"/>
      <c r="AN82" s="182"/>
      <c r="AO82" s="159"/>
      <c r="AP82" s="159"/>
      <c r="AQ82" s="162"/>
      <c r="AR82" s="162"/>
      <c r="AS82" s="159"/>
      <c r="AT82" s="159"/>
      <c r="AU82" s="159"/>
      <c r="AV82" s="159"/>
      <c r="AW82" s="159"/>
      <c r="AX82" s="159"/>
      <c r="AY82" s="159"/>
      <c r="AZ82" s="159"/>
      <c r="BA82" s="159"/>
      <c r="BB82" s="232"/>
      <c r="BC82" s="334"/>
      <c r="BD82" s="335"/>
    </row>
    <row r="83" spans="1:56">
      <c r="A83" s="359"/>
      <c r="B83" s="348"/>
      <c r="C83" s="348"/>
      <c r="D83" s="49">
        <f t="shared" si="5"/>
        <v>4</v>
      </c>
      <c r="E83" s="49">
        <v>1</v>
      </c>
      <c r="F83" s="43" t="s">
        <v>33</v>
      </c>
      <c r="G83" s="49">
        <v>6</v>
      </c>
      <c r="H83" s="224">
        <f t="shared" si="4"/>
        <v>0</v>
      </c>
      <c r="I83" s="43" t="s">
        <v>34</v>
      </c>
      <c r="J83" s="372" t="s">
        <v>37</v>
      </c>
      <c r="K83" s="170"/>
      <c r="L83" s="49">
        <v>1.5</v>
      </c>
      <c r="M83" s="49">
        <v>1.5</v>
      </c>
      <c r="N83" s="182"/>
      <c r="O83" s="182"/>
      <c r="P83" s="49">
        <v>1.5</v>
      </c>
      <c r="Q83" s="49">
        <v>1.5</v>
      </c>
      <c r="R83" s="140"/>
      <c r="S83" s="140"/>
      <c r="T83" s="49"/>
      <c r="U83" s="49"/>
      <c r="V83" s="182"/>
      <c r="W83" s="182"/>
      <c r="X83" s="49"/>
      <c r="Y83" s="49"/>
      <c r="Z83" s="49"/>
      <c r="AA83" s="146"/>
      <c r="AB83" s="146"/>
      <c r="AC83" s="49"/>
      <c r="AD83" s="49"/>
      <c r="AE83" s="182"/>
      <c r="AF83" s="182"/>
      <c r="AG83" s="49"/>
      <c r="AH83" s="49"/>
      <c r="AI83" s="146"/>
      <c r="AJ83" s="146"/>
      <c r="AK83" s="49"/>
      <c r="AL83" s="49"/>
      <c r="AM83" s="182"/>
      <c r="AN83" s="182"/>
      <c r="AO83" s="234"/>
      <c r="AP83" s="49"/>
      <c r="AQ83" s="146"/>
      <c r="AR83" s="146"/>
      <c r="AS83" s="49"/>
      <c r="AT83" s="49"/>
      <c r="AU83" s="182"/>
      <c r="AV83" s="182"/>
      <c r="AW83" s="182"/>
      <c r="AX83" s="182"/>
      <c r="AY83" s="49"/>
      <c r="AZ83" s="49"/>
      <c r="BA83" s="182"/>
      <c r="BB83" s="233"/>
      <c r="BC83" s="334"/>
      <c r="BD83" s="335"/>
    </row>
    <row r="84" spans="1:56">
      <c r="A84" s="359"/>
      <c r="B84" s="348"/>
      <c r="C84" s="348"/>
      <c r="D84" s="49">
        <f t="shared" si="5"/>
        <v>4</v>
      </c>
      <c r="E84" s="49">
        <v>1</v>
      </c>
      <c r="F84" s="43" t="s">
        <v>36</v>
      </c>
      <c r="G84" s="49">
        <v>6</v>
      </c>
      <c r="H84" s="224">
        <f t="shared" si="4"/>
        <v>0</v>
      </c>
      <c r="I84" s="43" t="s">
        <v>34</v>
      </c>
      <c r="J84" s="372"/>
      <c r="K84" s="170"/>
      <c r="L84" s="49">
        <v>1.5</v>
      </c>
      <c r="M84" s="49">
        <v>1.5</v>
      </c>
      <c r="N84" s="182"/>
      <c r="O84" s="182"/>
      <c r="P84" s="49"/>
      <c r="Q84" s="49"/>
      <c r="R84" s="140"/>
      <c r="S84" s="140"/>
      <c r="T84" s="49">
        <v>1.5</v>
      </c>
      <c r="U84" s="49">
        <v>1.5</v>
      </c>
      <c r="V84" s="182"/>
      <c r="W84" s="182"/>
      <c r="X84" s="49"/>
      <c r="Y84" s="49"/>
      <c r="Z84" s="49"/>
      <c r="AA84" s="146"/>
      <c r="AB84" s="146"/>
      <c r="AC84" s="49"/>
      <c r="AD84" s="49"/>
      <c r="AE84" s="182"/>
      <c r="AF84" s="182"/>
      <c r="AG84" s="49"/>
      <c r="AH84" s="49"/>
      <c r="AI84" s="146"/>
      <c r="AJ84" s="146"/>
      <c r="AK84" s="49"/>
      <c r="AL84" s="49"/>
      <c r="AM84" s="182"/>
      <c r="AN84" s="182"/>
      <c r="AO84" s="49"/>
      <c r="AP84" s="49"/>
      <c r="AQ84" s="146"/>
      <c r="AR84" s="146"/>
      <c r="AS84" s="49"/>
      <c r="AT84" s="49"/>
      <c r="AU84" s="182"/>
      <c r="AV84" s="182"/>
      <c r="AW84" s="182"/>
      <c r="AX84" s="182"/>
      <c r="AY84" s="49"/>
      <c r="AZ84" s="49"/>
      <c r="BA84" s="182"/>
      <c r="BB84" s="233"/>
      <c r="BC84" s="334"/>
      <c r="BD84" s="335"/>
    </row>
    <row r="85" spans="1:56" ht="15.75" thickBot="1">
      <c r="A85" s="360"/>
      <c r="B85" s="320"/>
      <c r="C85" s="320"/>
      <c r="D85" s="51">
        <f t="shared" si="5"/>
        <v>5</v>
      </c>
      <c r="E85" s="51">
        <v>1</v>
      </c>
      <c r="F85" s="46" t="s">
        <v>39</v>
      </c>
      <c r="G85" s="51">
        <v>10</v>
      </c>
      <c r="H85" s="225">
        <f t="shared" si="4"/>
        <v>0</v>
      </c>
      <c r="I85" s="46" t="s">
        <v>34</v>
      </c>
      <c r="J85" s="376"/>
      <c r="K85" s="171"/>
      <c r="L85" s="51"/>
      <c r="M85" s="51"/>
      <c r="N85" s="183"/>
      <c r="O85" s="183"/>
      <c r="P85" s="51"/>
      <c r="Q85" s="51"/>
      <c r="R85" s="141"/>
      <c r="S85" s="141"/>
      <c r="T85" s="51"/>
      <c r="U85" s="51"/>
      <c r="V85" s="183"/>
      <c r="W85" s="183"/>
      <c r="X85" s="51">
        <v>2</v>
      </c>
      <c r="Y85" s="51">
        <v>2</v>
      </c>
      <c r="Z85" s="51">
        <v>2</v>
      </c>
      <c r="AA85" s="147"/>
      <c r="AB85" s="147"/>
      <c r="AC85" s="51">
        <v>2</v>
      </c>
      <c r="AD85" s="51">
        <v>2</v>
      </c>
      <c r="AE85" s="183"/>
      <c r="AF85" s="183"/>
      <c r="AG85" s="51"/>
      <c r="AH85" s="51"/>
      <c r="AI85" s="147"/>
      <c r="AJ85" s="147"/>
      <c r="AK85" s="51"/>
      <c r="AL85" s="51"/>
      <c r="AM85" s="183"/>
      <c r="AN85" s="183"/>
      <c r="AO85" s="51"/>
      <c r="AP85" s="51"/>
      <c r="AQ85" s="147"/>
      <c r="AR85" s="147"/>
      <c r="AS85" s="51"/>
      <c r="AT85" s="51"/>
      <c r="AU85" s="183"/>
      <c r="AV85" s="183"/>
      <c r="AW85" s="183"/>
      <c r="AX85" s="183"/>
      <c r="AY85" s="51"/>
      <c r="AZ85" s="51"/>
      <c r="BA85" s="183"/>
      <c r="BB85" s="235"/>
      <c r="BC85" s="336"/>
      <c r="BD85" s="337"/>
    </row>
    <row r="86" spans="1:56" ht="15.75" thickTop="1">
      <c r="A86" s="358" t="s">
        <v>183</v>
      </c>
      <c r="B86" s="319" t="s">
        <v>184</v>
      </c>
      <c r="C86" s="319" t="s">
        <v>123</v>
      </c>
      <c r="D86" s="50">
        <f t="shared" si="5"/>
        <v>0</v>
      </c>
      <c r="E86" s="50">
        <v>0</v>
      </c>
      <c r="F86" s="45" t="s">
        <v>33</v>
      </c>
      <c r="G86" s="50">
        <v>0</v>
      </c>
      <c r="H86" s="223">
        <f t="shared" si="4"/>
        <v>0</v>
      </c>
      <c r="I86" s="45" t="s">
        <v>34</v>
      </c>
      <c r="J86" s="371" t="s">
        <v>35</v>
      </c>
      <c r="K86" s="169"/>
      <c r="L86" s="50"/>
      <c r="M86" s="50"/>
      <c r="N86" s="181"/>
      <c r="O86" s="181"/>
      <c r="P86" s="50"/>
      <c r="Q86" s="50"/>
      <c r="R86" s="139"/>
      <c r="S86" s="139"/>
      <c r="T86" s="50"/>
      <c r="U86" s="50"/>
      <c r="V86" s="181"/>
      <c r="W86" s="181"/>
      <c r="X86" s="50"/>
      <c r="Y86" s="50"/>
      <c r="Z86" s="50"/>
      <c r="AA86" s="145"/>
      <c r="AB86" s="145"/>
      <c r="AC86" s="50"/>
      <c r="AD86" s="50"/>
      <c r="AE86" s="181"/>
      <c r="AF86" s="181"/>
      <c r="AG86" s="50"/>
      <c r="AH86" s="50"/>
      <c r="AI86" s="145"/>
      <c r="AJ86" s="145"/>
      <c r="AK86" s="50"/>
      <c r="AL86" s="50"/>
      <c r="AM86" s="181"/>
      <c r="AN86" s="181"/>
      <c r="AO86" s="160"/>
      <c r="AP86" s="160"/>
      <c r="AQ86" s="161"/>
      <c r="AR86" s="161"/>
      <c r="AS86" s="160"/>
      <c r="AT86" s="160"/>
      <c r="AU86" s="160"/>
      <c r="AV86" s="160"/>
      <c r="AW86" s="160"/>
      <c r="AX86" s="160"/>
      <c r="AY86" s="160"/>
      <c r="AZ86" s="160"/>
      <c r="BA86" s="160"/>
      <c r="BB86" s="231"/>
      <c r="BC86" s="338" t="s">
        <v>185</v>
      </c>
      <c r="BD86" s="339"/>
    </row>
    <row r="87" spans="1:56">
      <c r="A87" s="359"/>
      <c r="B87" s="348"/>
      <c r="C87" s="348"/>
      <c r="D87" s="49">
        <f t="shared" si="5"/>
        <v>9</v>
      </c>
      <c r="E87" s="49">
        <v>0</v>
      </c>
      <c r="F87" s="43" t="s">
        <v>36</v>
      </c>
      <c r="G87" s="49">
        <v>15</v>
      </c>
      <c r="H87" s="224">
        <f t="shared" si="4"/>
        <v>0</v>
      </c>
      <c r="I87" s="43" t="s">
        <v>34</v>
      </c>
      <c r="J87" s="372"/>
      <c r="K87" s="170"/>
      <c r="L87" s="49">
        <v>1.5</v>
      </c>
      <c r="M87" s="49">
        <v>1.5</v>
      </c>
      <c r="N87" s="182">
        <v>3</v>
      </c>
      <c r="O87" s="182">
        <v>1.5</v>
      </c>
      <c r="P87" s="49">
        <v>1.5</v>
      </c>
      <c r="Q87" s="49">
        <v>1.5</v>
      </c>
      <c r="R87" s="140"/>
      <c r="S87" s="140"/>
      <c r="T87" s="49">
        <v>1.5</v>
      </c>
      <c r="U87" s="49">
        <v>1.5</v>
      </c>
      <c r="V87" s="182">
        <v>1.5</v>
      </c>
      <c r="W87" s="182"/>
      <c r="X87" s="49"/>
      <c r="Y87" s="49"/>
      <c r="Z87" s="49"/>
      <c r="AA87" s="146"/>
      <c r="AB87" s="146"/>
      <c r="AC87" s="49"/>
      <c r="AD87" s="49"/>
      <c r="AE87" s="182"/>
      <c r="AF87" s="182"/>
      <c r="AG87" s="49"/>
      <c r="AH87" s="49"/>
      <c r="AI87" s="146"/>
      <c r="AJ87" s="146"/>
      <c r="AK87" s="49"/>
      <c r="AL87" s="49"/>
      <c r="AM87" s="182"/>
      <c r="AN87" s="182"/>
      <c r="AO87" s="159"/>
      <c r="AP87" s="159"/>
      <c r="AQ87" s="162"/>
      <c r="AR87" s="162"/>
      <c r="AS87" s="159"/>
      <c r="AT87" s="159"/>
      <c r="AU87" s="159"/>
      <c r="AV87" s="159"/>
      <c r="AW87" s="159"/>
      <c r="AX87" s="159"/>
      <c r="AY87" s="159"/>
      <c r="AZ87" s="159"/>
      <c r="BA87" s="159"/>
      <c r="BB87" s="232"/>
      <c r="BC87" s="340"/>
      <c r="BD87" s="341"/>
    </row>
    <row r="88" spans="1:56">
      <c r="A88" s="359"/>
      <c r="B88" s="348"/>
      <c r="C88" s="348"/>
      <c r="D88" s="49">
        <f t="shared" si="5"/>
        <v>6</v>
      </c>
      <c r="E88" s="49">
        <v>0</v>
      </c>
      <c r="F88" s="49" t="s">
        <v>39</v>
      </c>
      <c r="G88" s="49">
        <v>9</v>
      </c>
      <c r="H88" s="224">
        <f t="shared" si="4"/>
        <v>0</v>
      </c>
      <c r="I88" s="43" t="s">
        <v>34</v>
      </c>
      <c r="J88" s="372"/>
      <c r="K88" s="170"/>
      <c r="L88" s="49"/>
      <c r="M88" s="49"/>
      <c r="N88" s="182"/>
      <c r="O88" s="182"/>
      <c r="P88" s="49"/>
      <c r="Q88" s="49"/>
      <c r="R88" s="140"/>
      <c r="S88" s="140"/>
      <c r="T88" s="49"/>
      <c r="U88" s="49"/>
      <c r="V88" s="182"/>
      <c r="W88" s="182">
        <v>1.5</v>
      </c>
      <c r="X88" s="49">
        <v>1.5</v>
      </c>
      <c r="Y88" s="49">
        <v>1.5</v>
      </c>
      <c r="Z88" s="49">
        <v>1.5</v>
      </c>
      <c r="AA88" s="146"/>
      <c r="AB88" s="146"/>
      <c r="AC88" s="49">
        <v>1.5</v>
      </c>
      <c r="AD88" s="49">
        <v>1.5</v>
      </c>
      <c r="AE88" s="182"/>
      <c r="AF88" s="182"/>
      <c r="AG88" s="49"/>
      <c r="AH88" s="49"/>
      <c r="AI88" s="146"/>
      <c r="AJ88" s="146"/>
      <c r="AK88" s="49"/>
      <c r="AL88" s="49"/>
      <c r="AM88" s="182"/>
      <c r="AN88" s="182"/>
      <c r="AO88" s="159"/>
      <c r="AP88" s="159"/>
      <c r="AQ88" s="162"/>
      <c r="AR88" s="162"/>
      <c r="AS88" s="159"/>
      <c r="AT88" s="159"/>
      <c r="AU88" s="159"/>
      <c r="AV88" s="159"/>
      <c r="AW88" s="159"/>
      <c r="AX88" s="159"/>
      <c r="AY88" s="159"/>
      <c r="AZ88" s="159"/>
      <c r="BA88" s="159"/>
      <c r="BB88" s="232"/>
      <c r="BC88" s="340"/>
      <c r="BD88" s="341"/>
    </row>
    <row r="89" spans="1:56">
      <c r="A89" s="359"/>
      <c r="B89" s="348"/>
      <c r="C89" s="348"/>
      <c r="D89" s="49">
        <f t="shared" si="5"/>
        <v>0</v>
      </c>
      <c r="E89" s="49">
        <v>1</v>
      </c>
      <c r="F89" s="49" t="s">
        <v>33</v>
      </c>
      <c r="G89" s="49">
        <v>0</v>
      </c>
      <c r="H89" s="224">
        <f t="shared" si="4"/>
        <v>0</v>
      </c>
      <c r="I89" s="43" t="s">
        <v>34</v>
      </c>
      <c r="J89" s="372" t="s">
        <v>37</v>
      </c>
      <c r="K89" s="170"/>
      <c r="L89" s="49"/>
      <c r="M89" s="49"/>
      <c r="N89" s="182"/>
      <c r="O89" s="182"/>
      <c r="P89" s="49"/>
      <c r="Q89" s="49"/>
      <c r="R89" s="140"/>
      <c r="S89" s="140"/>
      <c r="T89" s="49"/>
      <c r="U89" s="49"/>
      <c r="V89" s="182"/>
      <c r="W89" s="182"/>
      <c r="X89" s="49"/>
      <c r="Y89" s="49"/>
      <c r="Z89" s="49"/>
      <c r="AA89" s="146"/>
      <c r="AB89" s="146"/>
      <c r="AC89" s="49"/>
      <c r="AD89" s="49"/>
      <c r="AE89" s="182"/>
      <c r="AF89" s="182"/>
      <c r="AG89" s="49"/>
      <c r="AH89" s="49"/>
      <c r="AI89" s="146"/>
      <c r="AJ89" s="146"/>
      <c r="AK89" s="49"/>
      <c r="AL89" s="49"/>
      <c r="AM89" s="182"/>
      <c r="AN89" s="182"/>
      <c r="AO89" s="49"/>
      <c r="AP89" s="49"/>
      <c r="AQ89" s="146"/>
      <c r="AR89" s="146"/>
      <c r="AS89" s="49"/>
      <c r="AT89" s="49"/>
      <c r="AU89" s="182"/>
      <c r="AV89" s="182"/>
      <c r="AW89" s="182"/>
      <c r="AX89" s="182"/>
      <c r="AY89" s="49"/>
      <c r="AZ89" s="49"/>
      <c r="BA89" s="182"/>
      <c r="BB89" s="233"/>
      <c r="BC89" s="340"/>
      <c r="BD89" s="341"/>
    </row>
    <row r="90" spans="1:56">
      <c r="A90" s="359"/>
      <c r="B90" s="348"/>
      <c r="C90" s="348"/>
      <c r="D90" s="49">
        <f t="shared" si="5"/>
        <v>8</v>
      </c>
      <c r="E90" s="49">
        <v>1</v>
      </c>
      <c r="F90" s="49" t="s">
        <v>36</v>
      </c>
      <c r="G90" s="49">
        <v>15</v>
      </c>
      <c r="H90" s="224">
        <f t="shared" si="4"/>
        <v>0</v>
      </c>
      <c r="I90" s="43" t="s">
        <v>34</v>
      </c>
      <c r="J90" s="372"/>
      <c r="K90" s="170"/>
      <c r="L90" s="49">
        <v>1.5</v>
      </c>
      <c r="M90" s="49">
        <v>1.5</v>
      </c>
      <c r="N90" s="182"/>
      <c r="O90" s="182"/>
      <c r="P90" s="49">
        <v>1.5</v>
      </c>
      <c r="Q90" s="49">
        <v>1.5</v>
      </c>
      <c r="R90" s="140"/>
      <c r="S90" s="140"/>
      <c r="T90" s="49">
        <v>1.5</v>
      </c>
      <c r="U90" s="49">
        <v>1.5</v>
      </c>
      <c r="V90" s="182"/>
      <c r="W90" s="182"/>
      <c r="X90" s="49">
        <v>3</v>
      </c>
      <c r="Y90" s="49">
        <v>3</v>
      </c>
      <c r="Z90" s="49"/>
      <c r="AA90" s="146"/>
      <c r="AB90" s="146"/>
      <c r="AC90" s="49"/>
      <c r="AD90" s="49"/>
      <c r="AE90" s="182"/>
      <c r="AF90" s="182"/>
      <c r="AG90" s="49"/>
      <c r="AH90" s="49"/>
      <c r="AI90" s="146"/>
      <c r="AJ90" s="146"/>
      <c r="AK90" s="49"/>
      <c r="AL90" s="49"/>
      <c r="AM90" s="182"/>
      <c r="AN90" s="182"/>
      <c r="AO90" s="49"/>
      <c r="AP90" s="49"/>
      <c r="AQ90" s="146"/>
      <c r="AR90" s="146"/>
      <c r="AS90" s="49"/>
      <c r="AT90" s="49"/>
      <c r="AU90" s="182"/>
      <c r="AV90" s="182"/>
      <c r="AW90" s="182"/>
      <c r="AX90" s="182"/>
      <c r="AY90" s="49"/>
      <c r="AZ90" s="49"/>
      <c r="BA90" s="182"/>
      <c r="BB90" s="233"/>
      <c r="BC90" s="340"/>
      <c r="BD90" s="341"/>
    </row>
    <row r="91" spans="1:56" ht="15.75" thickBot="1">
      <c r="A91" s="360"/>
      <c r="B91" s="320"/>
      <c r="C91" s="320"/>
      <c r="D91" s="51">
        <f t="shared" si="5"/>
        <v>3</v>
      </c>
      <c r="E91" s="51">
        <v>1</v>
      </c>
      <c r="F91" s="51" t="s">
        <v>39</v>
      </c>
      <c r="G91" s="51">
        <v>9</v>
      </c>
      <c r="H91" s="225">
        <f t="shared" si="4"/>
        <v>0</v>
      </c>
      <c r="I91" s="46" t="s">
        <v>34</v>
      </c>
      <c r="J91" s="376"/>
      <c r="K91" s="171"/>
      <c r="L91" s="51"/>
      <c r="M91" s="51"/>
      <c r="N91" s="183"/>
      <c r="O91" s="183"/>
      <c r="P91" s="51"/>
      <c r="Q91" s="51"/>
      <c r="R91" s="141"/>
      <c r="S91" s="141"/>
      <c r="T91" s="51"/>
      <c r="U91" s="51"/>
      <c r="V91" s="183"/>
      <c r="W91" s="183"/>
      <c r="X91" s="51"/>
      <c r="Y91" s="51"/>
      <c r="Z91" s="51">
        <v>3</v>
      </c>
      <c r="AA91" s="147"/>
      <c r="AB91" s="147"/>
      <c r="AC91" s="51">
        <v>3</v>
      </c>
      <c r="AD91" s="51">
        <v>3</v>
      </c>
      <c r="AE91" s="183"/>
      <c r="AF91" s="183"/>
      <c r="AG91" s="51"/>
      <c r="AH91" s="51"/>
      <c r="AI91" s="147"/>
      <c r="AJ91" s="147"/>
      <c r="AK91" s="51"/>
      <c r="AL91" s="51"/>
      <c r="AM91" s="183"/>
      <c r="AN91" s="183"/>
      <c r="AO91" s="51"/>
      <c r="AP91" s="51"/>
      <c r="AQ91" s="147"/>
      <c r="AR91" s="147"/>
      <c r="AS91" s="51"/>
      <c r="AT91" s="51"/>
      <c r="AU91" s="183"/>
      <c r="AV91" s="183"/>
      <c r="AW91" s="183"/>
      <c r="AX91" s="183"/>
      <c r="AY91" s="51"/>
      <c r="AZ91" s="51"/>
      <c r="BA91" s="183"/>
      <c r="BB91" s="235"/>
      <c r="BC91" s="342"/>
      <c r="BD91" s="343"/>
    </row>
    <row r="92" spans="1:56" ht="15.75" thickTop="1">
      <c r="A92" s="358" t="s">
        <v>186</v>
      </c>
      <c r="B92" s="319" t="s">
        <v>187</v>
      </c>
      <c r="C92" s="319" t="s">
        <v>75</v>
      </c>
      <c r="D92" s="50">
        <f t="shared" si="5"/>
        <v>0</v>
      </c>
      <c r="E92" s="50">
        <v>0</v>
      </c>
      <c r="F92" s="50" t="s">
        <v>33</v>
      </c>
      <c r="G92" s="50">
        <v>0</v>
      </c>
      <c r="H92" s="223">
        <f t="shared" si="4"/>
        <v>0</v>
      </c>
      <c r="I92" s="45" t="s">
        <v>34</v>
      </c>
      <c r="J92" s="371" t="s">
        <v>35</v>
      </c>
      <c r="K92" s="169"/>
      <c r="L92" s="50"/>
      <c r="M92" s="50"/>
      <c r="N92" s="181"/>
      <c r="O92" s="181"/>
      <c r="P92" s="50"/>
      <c r="Q92" s="50"/>
      <c r="R92" s="139"/>
      <c r="S92" s="139"/>
      <c r="T92" s="50"/>
      <c r="U92" s="50"/>
      <c r="V92" s="181"/>
      <c r="W92" s="181"/>
      <c r="X92" s="50"/>
      <c r="Y92" s="50"/>
      <c r="Z92" s="50"/>
      <c r="AA92" s="145"/>
      <c r="AB92" s="145"/>
      <c r="AC92" s="50"/>
      <c r="AD92" s="50"/>
      <c r="AE92" s="181"/>
      <c r="AF92" s="181"/>
      <c r="AG92" s="50"/>
      <c r="AH92" s="50"/>
      <c r="AI92" s="145"/>
      <c r="AJ92" s="145"/>
      <c r="AK92" s="50"/>
      <c r="AL92" s="50"/>
      <c r="AM92" s="181"/>
      <c r="AN92" s="181"/>
      <c r="AO92" s="160"/>
      <c r="AP92" s="160"/>
      <c r="AQ92" s="161"/>
      <c r="AR92" s="161"/>
      <c r="AS92" s="160"/>
      <c r="AT92" s="160"/>
      <c r="AU92" s="160"/>
      <c r="AV92" s="160"/>
      <c r="AW92" s="160"/>
      <c r="AX92" s="160"/>
      <c r="AY92" s="160"/>
      <c r="AZ92" s="160"/>
      <c r="BA92" s="160"/>
      <c r="BB92" s="231"/>
      <c r="BC92" s="332"/>
      <c r="BD92" s="333"/>
    </row>
    <row r="93" spans="1:56">
      <c r="A93" s="359"/>
      <c r="B93" s="348"/>
      <c r="C93" s="348"/>
      <c r="D93" s="49">
        <f t="shared" si="5"/>
        <v>7</v>
      </c>
      <c r="E93" s="49">
        <v>0</v>
      </c>
      <c r="F93" s="49" t="s">
        <v>36</v>
      </c>
      <c r="G93" s="49">
        <v>10.5</v>
      </c>
      <c r="H93" s="224">
        <f t="shared" si="4"/>
        <v>0</v>
      </c>
      <c r="I93" s="43" t="s">
        <v>34</v>
      </c>
      <c r="J93" s="372"/>
      <c r="K93" s="170"/>
      <c r="L93" s="49"/>
      <c r="M93" s="49"/>
      <c r="N93" s="182"/>
      <c r="O93" s="182"/>
      <c r="P93" s="49"/>
      <c r="Q93" s="49"/>
      <c r="R93" s="140"/>
      <c r="S93" s="140"/>
      <c r="T93" s="49"/>
      <c r="U93" s="49"/>
      <c r="V93" s="182">
        <v>1.5</v>
      </c>
      <c r="W93" s="182">
        <v>1.5</v>
      </c>
      <c r="X93" s="49">
        <v>1.5</v>
      </c>
      <c r="Y93" s="49">
        <v>1.5</v>
      </c>
      <c r="Z93" s="49">
        <v>1.5</v>
      </c>
      <c r="AA93" s="146"/>
      <c r="AB93" s="146"/>
      <c r="AC93" s="49">
        <v>1.5</v>
      </c>
      <c r="AD93" s="49">
        <v>1.5</v>
      </c>
      <c r="AE93" s="182"/>
      <c r="AF93" s="182"/>
      <c r="AG93" s="49"/>
      <c r="AH93" s="49"/>
      <c r="AI93" s="146"/>
      <c r="AJ93" s="146"/>
      <c r="AK93" s="49"/>
      <c r="AL93" s="49"/>
      <c r="AM93" s="182"/>
      <c r="AN93" s="182"/>
      <c r="AO93" s="159"/>
      <c r="AP93" s="159"/>
      <c r="AQ93" s="162"/>
      <c r="AR93" s="162"/>
      <c r="AS93" s="159"/>
      <c r="AT93" s="159"/>
      <c r="AU93" s="159"/>
      <c r="AV93" s="159"/>
      <c r="AW93" s="159"/>
      <c r="AX93" s="159"/>
      <c r="AY93" s="159"/>
      <c r="AZ93" s="159"/>
      <c r="BA93" s="159"/>
      <c r="BB93" s="232"/>
      <c r="BC93" s="334"/>
      <c r="BD93" s="335"/>
    </row>
    <row r="94" spans="1:56">
      <c r="A94" s="359"/>
      <c r="B94" s="348"/>
      <c r="C94" s="348"/>
      <c r="D94" s="49">
        <f t="shared" si="5"/>
        <v>0</v>
      </c>
      <c r="E94" s="49">
        <v>0</v>
      </c>
      <c r="F94" s="49" t="s">
        <v>39</v>
      </c>
      <c r="G94" s="49">
        <v>0</v>
      </c>
      <c r="H94" s="224">
        <f t="shared" si="4"/>
        <v>0</v>
      </c>
      <c r="I94" s="43" t="s">
        <v>34</v>
      </c>
      <c r="J94" s="372"/>
      <c r="K94" s="170"/>
      <c r="L94" s="49"/>
      <c r="M94" s="49"/>
      <c r="N94" s="182"/>
      <c r="O94" s="182"/>
      <c r="P94" s="49"/>
      <c r="Q94" s="49"/>
      <c r="R94" s="140"/>
      <c r="S94" s="140"/>
      <c r="T94" s="49"/>
      <c r="U94" s="49"/>
      <c r="V94" s="182"/>
      <c r="W94" s="182"/>
      <c r="X94" s="49"/>
      <c r="Y94" s="49"/>
      <c r="Z94" s="49"/>
      <c r="AA94" s="146"/>
      <c r="AB94" s="146"/>
      <c r="AC94" s="49"/>
      <c r="AD94" s="49"/>
      <c r="AE94" s="182"/>
      <c r="AF94" s="182"/>
      <c r="AG94" s="49"/>
      <c r="AH94" s="49"/>
      <c r="AI94" s="146"/>
      <c r="AJ94" s="146"/>
      <c r="AK94" s="49"/>
      <c r="AL94" s="49"/>
      <c r="AM94" s="182"/>
      <c r="AN94" s="182"/>
      <c r="AO94" s="159"/>
      <c r="AP94" s="159"/>
      <c r="AQ94" s="162"/>
      <c r="AR94" s="162"/>
      <c r="AS94" s="159"/>
      <c r="AT94" s="159"/>
      <c r="AU94" s="159"/>
      <c r="AV94" s="159"/>
      <c r="AW94" s="159"/>
      <c r="AX94" s="159"/>
      <c r="AY94" s="159"/>
      <c r="AZ94" s="159"/>
      <c r="BA94" s="159"/>
      <c r="BB94" s="232"/>
      <c r="BC94" s="334"/>
      <c r="BD94" s="335"/>
    </row>
    <row r="95" spans="1:56">
      <c r="A95" s="359"/>
      <c r="B95" s="348"/>
      <c r="C95" s="348"/>
      <c r="D95" s="49">
        <f t="shared" si="5"/>
        <v>0</v>
      </c>
      <c r="E95" s="49">
        <v>1</v>
      </c>
      <c r="F95" s="49" t="s">
        <v>33</v>
      </c>
      <c r="G95" s="49">
        <v>0</v>
      </c>
      <c r="H95" s="224">
        <f t="shared" si="4"/>
        <v>0</v>
      </c>
      <c r="I95" s="133" t="s">
        <v>34</v>
      </c>
      <c r="J95" s="372" t="s">
        <v>37</v>
      </c>
      <c r="K95" s="170"/>
      <c r="L95" s="49"/>
      <c r="M95" s="49"/>
      <c r="N95" s="182"/>
      <c r="O95" s="182"/>
      <c r="P95" s="49"/>
      <c r="Q95" s="49"/>
      <c r="R95" s="140"/>
      <c r="S95" s="140"/>
      <c r="T95" s="49"/>
      <c r="U95" s="49"/>
      <c r="V95" s="182"/>
      <c r="W95" s="182"/>
      <c r="X95" s="49"/>
      <c r="Y95" s="49"/>
      <c r="Z95" s="49"/>
      <c r="AA95" s="146"/>
      <c r="AB95" s="146"/>
      <c r="AC95" s="49"/>
      <c r="AD95" s="49"/>
      <c r="AE95" s="182"/>
      <c r="AF95" s="182"/>
      <c r="AG95" s="49"/>
      <c r="AH95" s="49"/>
      <c r="AI95" s="146"/>
      <c r="AJ95" s="146"/>
      <c r="AK95" s="49"/>
      <c r="AL95" s="49"/>
      <c r="AM95" s="182"/>
      <c r="AN95" s="182"/>
      <c r="AO95" s="49"/>
      <c r="AP95" s="49"/>
      <c r="AQ95" s="146"/>
      <c r="AR95" s="146"/>
      <c r="AS95" s="49"/>
      <c r="AT95" s="49"/>
      <c r="AU95" s="182"/>
      <c r="AV95" s="182"/>
      <c r="AW95" s="182"/>
      <c r="AX95" s="182"/>
      <c r="AY95" s="49"/>
      <c r="AZ95" s="49"/>
      <c r="BA95" s="182"/>
      <c r="BB95" s="233"/>
      <c r="BC95" s="334"/>
      <c r="BD95" s="335"/>
    </row>
    <row r="96" spans="1:56">
      <c r="A96" s="359"/>
      <c r="B96" s="348"/>
      <c r="C96" s="348"/>
      <c r="D96" s="49">
        <f t="shared" si="5"/>
        <v>7</v>
      </c>
      <c r="E96" s="49">
        <v>1</v>
      </c>
      <c r="F96" s="49" t="s">
        <v>36</v>
      </c>
      <c r="G96" s="49">
        <v>10.5</v>
      </c>
      <c r="H96" s="224">
        <f t="shared" si="4"/>
        <v>0</v>
      </c>
      <c r="I96" s="43" t="s">
        <v>34</v>
      </c>
      <c r="J96" s="372"/>
      <c r="K96" s="170"/>
      <c r="L96" s="49"/>
      <c r="M96" s="49"/>
      <c r="N96" s="182"/>
      <c r="O96" s="182"/>
      <c r="P96" s="49"/>
      <c r="Q96" s="49"/>
      <c r="R96" s="140"/>
      <c r="S96" s="140"/>
      <c r="T96" s="49">
        <v>1.5</v>
      </c>
      <c r="U96" s="49">
        <v>1.5</v>
      </c>
      <c r="V96" s="182"/>
      <c r="W96" s="182"/>
      <c r="X96" s="49">
        <v>1.5</v>
      </c>
      <c r="Y96" s="49">
        <v>1.5</v>
      </c>
      <c r="Z96" s="49">
        <v>1.5</v>
      </c>
      <c r="AA96" s="146"/>
      <c r="AB96" s="146"/>
      <c r="AC96" s="49">
        <v>1.5</v>
      </c>
      <c r="AD96" s="49">
        <v>1.5</v>
      </c>
      <c r="AE96" s="182"/>
      <c r="AF96" s="182"/>
      <c r="AG96" s="49"/>
      <c r="AH96" s="49"/>
      <c r="AI96" s="146"/>
      <c r="AJ96" s="146"/>
      <c r="AK96" s="49"/>
      <c r="AL96" s="49"/>
      <c r="AM96" s="182"/>
      <c r="AN96" s="182"/>
      <c r="AO96" s="49"/>
      <c r="AP96" s="49"/>
      <c r="AQ96" s="146"/>
      <c r="AR96" s="146"/>
      <c r="AS96" s="49"/>
      <c r="AT96" s="49"/>
      <c r="AU96" s="182"/>
      <c r="AV96" s="182"/>
      <c r="AW96" s="182"/>
      <c r="AX96" s="182"/>
      <c r="AY96" s="49"/>
      <c r="AZ96" s="49"/>
      <c r="BA96" s="182"/>
      <c r="BB96" s="233"/>
      <c r="BC96" s="334"/>
      <c r="BD96" s="335"/>
    </row>
    <row r="97" spans="1:56" ht="15.75" thickBot="1">
      <c r="A97" s="360"/>
      <c r="B97" s="320"/>
      <c r="C97" s="320"/>
      <c r="D97" s="51">
        <f t="shared" si="5"/>
        <v>0</v>
      </c>
      <c r="E97" s="51">
        <v>1</v>
      </c>
      <c r="F97" s="51" t="s">
        <v>39</v>
      </c>
      <c r="G97" s="51">
        <v>0</v>
      </c>
      <c r="H97" s="225">
        <f t="shared" si="4"/>
        <v>0</v>
      </c>
      <c r="I97" s="46" t="s">
        <v>34</v>
      </c>
      <c r="J97" s="376"/>
      <c r="K97" s="171"/>
      <c r="L97" s="51"/>
      <c r="M97" s="51"/>
      <c r="N97" s="183"/>
      <c r="O97" s="183"/>
      <c r="P97" s="51"/>
      <c r="Q97" s="51"/>
      <c r="R97" s="141"/>
      <c r="S97" s="141"/>
      <c r="T97" s="51"/>
      <c r="U97" s="51"/>
      <c r="V97" s="183"/>
      <c r="W97" s="183"/>
      <c r="X97" s="51"/>
      <c r="Y97" s="51"/>
      <c r="Z97" s="51"/>
      <c r="AA97" s="147"/>
      <c r="AB97" s="147"/>
      <c r="AC97" s="51"/>
      <c r="AD97" s="51"/>
      <c r="AE97" s="183"/>
      <c r="AF97" s="183"/>
      <c r="AG97" s="51"/>
      <c r="AH97" s="51"/>
      <c r="AI97" s="147"/>
      <c r="AJ97" s="147"/>
      <c r="AK97" s="51"/>
      <c r="AL97" s="51"/>
      <c r="AM97" s="183"/>
      <c r="AN97" s="183"/>
      <c r="AO97" s="51"/>
      <c r="AP97" s="51"/>
      <c r="AQ97" s="147"/>
      <c r="AR97" s="147"/>
      <c r="AS97" s="51"/>
      <c r="AT97" s="51"/>
      <c r="AU97" s="183"/>
      <c r="AV97" s="183"/>
      <c r="AW97" s="183"/>
      <c r="AX97" s="183"/>
      <c r="AY97" s="51"/>
      <c r="AZ97" s="51"/>
      <c r="BA97" s="183"/>
      <c r="BB97" s="235"/>
      <c r="BC97" s="336"/>
      <c r="BD97" s="337"/>
    </row>
    <row r="98" spans="1:56" ht="15.75" thickTop="1">
      <c r="A98" s="358" t="s">
        <v>188</v>
      </c>
      <c r="B98" s="319" t="s">
        <v>189</v>
      </c>
      <c r="C98" s="319" t="s">
        <v>190</v>
      </c>
      <c r="D98" s="50">
        <f t="shared" si="5"/>
        <v>2</v>
      </c>
      <c r="E98" s="50">
        <v>0</v>
      </c>
      <c r="F98" s="50" t="s">
        <v>36</v>
      </c>
      <c r="G98" s="50">
        <v>3</v>
      </c>
      <c r="H98" s="223">
        <f t="shared" si="4"/>
        <v>0</v>
      </c>
      <c r="I98" s="45">
        <v>123</v>
      </c>
      <c r="J98" s="371" t="s">
        <v>35</v>
      </c>
      <c r="K98" s="169"/>
      <c r="L98" s="50"/>
      <c r="M98" s="50"/>
      <c r="N98" s="181"/>
      <c r="O98" s="181"/>
      <c r="P98" s="50"/>
      <c r="Q98" s="50"/>
      <c r="R98" s="139"/>
      <c r="S98" s="139"/>
      <c r="T98" s="50"/>
      <c r="U98" s="50"/>
      <c r="V98" s="181"/>
      <c r="W98" s="181"/>
      <c r="X98" s="50"/>
      <c r="Y98" s="50"/>
      <c r="Z98" s="50"/>
      <c r="AA98" s="145"/>
      <c r="AB98" s="145"/>
      <c r="AC98" s="50">
        <v>2</v>
      </c>
      <c r="AD98" s="50"/>
      <c r="AE98" s="181"/>
      <c r="AF98" s="181"/>
      <c r="AG98" s="50">
        <v>1</v>
      </c>
      <c r="AH98" s="50"/>
      <c r="AI98" s="145"/>
      <c r="AJ98" s="145"/>
      <c r="AK98" s="50"/>
      <c r="AL98" s="50"/>
      <c r="AM98" s="181"/>
      <c r="AN98" s="181"/>
      <c r="AO98" s="160"/>
      <c r="AP98" s="160"/>
      <c r="AQ98" s="161"/>
      <c r="AR98" s="161"/>
      <c r="AS98" s="160"/>
      <c r="AT98" s="160"/>
      <c r="AU98" s="160"/>
      <c r="AV98" s="160"/>
      <c r="AW98" s="160"/>
      <c r="AX98" s="160"/>
      <c r="AY98" s="160"/>
      <c r="AZ98" s="160"/>
      <c r="BA98" s="160"/>
      <c r="BB98" s="231"/>
      <c r="BC98" s="332"/>
      <c r="BD98" s="333"/>
    </row>
    <row r="99" spans="1:56">
      <c r="A99" s="359"/>
      <c r="B99" s="348"/>
      <c r="C99" s="348"/>
      <c r="D99" s="49">
        <f t="shared" si="5"/>
        <v>1</v>
      </c>
      <c r="E99" s="49">
        <v>0</v>
      </c>
      <c r="F99" s="49" t="s">
        <v>39</v>
      </c>
      <c r="G99" s="49">
        <v>2</v>
      </c>
      <c r="H99" s="224">
        <f t="shared" si="4"/>
        <v>0</v>
      </c>
      <c r="I99" s="43">
        <v>123</v>
      </c>
      <c r="J99" s="372"/>
      <c r="K99" s="170"/>
      <c r="L99" s="49"/>
      <c r="M99" s="49"/>
      <c r="N99" s="182"/>
      <c r="O99" s="182"/>
      <c r="P99" s="49"/>
      <c r="Q99" s="49"/>
      <c r="R99" s="140"/>
      <c r="S99" s="140"/>
      <c r="T99" s="49"/>
      <c r="U99" s="49"/>
      <c r="V99" s="182"/>
      <c r="W99" s="182"/>
      <c r="X99" s="49"/>
      <c r="Y99" s="49"/>
      <c r="Z99" s="49"/>
      <c r="AA99" s="146"/>
      <c r="AB99" s="146"/>
      <c r="AC99" s="49">
        <v>2</v>
      </c>
      <c r="AD99" s="49"/>
      <c r="AE99" s="182"/>
      <c r="AF99" s="182"/>
      <c r="AG99" s="49"/>
      <c r="AH99" s="49"/>
      <c r="AI99" s="146"/>
      <c r="AJ99" s="146"/>
      <c r="AK99" s="49"/>
      <c r="AL99" s="49"/>
      <c r="AM99" s="182"/>
      <c r="AN99" s="182"/>
      <c r="AO99" s="159"/>
      <c r="AP99" s="159"/>
      <c r="AQ99" s="162"/>
      <c r="AR99" s="162"/>
      <c r="AS99" s="159"/>
      <c r="AT99" s="159"/>
      <c r="AU99" s="159"/>
      <c r="AV99" s="159"/>
      <c r="AW99" s="159"/>
      <c r="AX99" s="159"/>
      <c r="AY99" s="159"/>
      <c r="AZ99" s="159"/>
      <c r="BA99" s="159"/>
      <c r="BB99" s="232"/>
      <c r="BC99" s="334"/>
      <c r="BD99" s="335"/>
    </row>
    <row r="100" spans="1:56">
      <c r="A100" s="359"/>
      <c r="B100" s="348"/>
      <c r="C100" s="348"/>
      <c r="D100" s="49">
        <f t="shared" si="5"/>
        <v>0</v>
      </c>
      <c r="E100" s="49">
        <v>0</v>
      </c>
      <c r="F100" s="49" t="s">
        <v>78</v>
      </c>
      <c r="G100" s="49">
        <v>12.5</v>
      </c>
      <c r="H100" s="224">
        <f t="shared" si="4"/>
        <v>12.5</v>
      </c>
      <c r="I100" s="43" t="s">
        <v>191</v>
      </c>
      <c r="J100" s="372"/>
      <c r="K100" s="170"/>
      <c r="L100" s="49"/>
      <c r="M100" s="49"/>
      <c r="N100" s="182"/>
      <c r="O100" s="182"/>
      <c r="P100" s="49"/>
      <c r="Q100" s="49"/>
      <c r="R100" s="140"/>
      <c r="S100" s="140"/>
      <c r="T100" s="49"/>
      <c r="U100" s="49"/>
      <c r="V100" s="182"/>
      <c r="W100" s="182"/>
      <c r="X100" s="49"/>
      <c r="Y100" s="49"/>
      <c r="Z100" s="49"/>
      <c r="AA100" s="146"/>
      <c r="AB100" s="146"/>
      <c r="AC100" s="49"/>
      <c r="AD100" s="49"/>
      <c r="AE100" s="182"/>
      <c r="AF100" s="182"/>
      <c r="AG100" s="49"/>
      <c r="AH100" s="49"/>
      <c r="AI100" s="146"/>
      <c r="AJ100" s="146"/>
      <c r="AK100" s="49"/>
      <c r="AL100" s="49"/>
      <c r="AM100" s="182"/>
      <c r="AN100" s="182"/>
      <c r="AO100" s="159"/>
      <c r="AP100" s="159"/>
      <c r="AQ100" s="162"/>
      <c r="AR100" s="162"/>
      <c r="AS100" s="159"/>
      <c r="AT100" s="159"/>
      <c r="AU100" s="159"/>
      <c r="AV100" s="159"/>
      <c r="AW100" s="159"/>
      <c r="AX100" s="159"/>
      <c r="AY100" s="159"/>
      <c r="AZ100" s="159"/>
      <c r="BA100" s="159"/>
      <c r="BB100" s="232"/>
      <c r="BC100" s="334"/>
      <c r="BD100" s="335"/>
    </row>
    <row r="101" spans="1:56">
      <c r="A101" s="359"/>
      <c r="B101" s="348"/>
      <c r="C101" s="348" t="s">
        <v>173</v>
      </c>
      <c r="D101" s="49">
        <f t="shared" si="5"/>
        <v>3</v>
      </c>
      <c r="E101" s="49">
        <v>0</v>
      </c>
      <c r="F101" s="49" t="s">
        <v>36</v>
      </c>
      <c r="G101" s="49">
        <v>5</v>
      </c>
      <c r="H101" s="224">
        <f t="shared" si="4"/>
        <v>0</v>
      </c>
      <c r="I101" s="43">
        <v>123</v>
      </c>
      <c r="J101" s="372"/>
      <c r="K101" s="170"/>
      <c r="L101" s="49"/>
      <c r="M101" s="49"/>
      <c r="N101" s="182"/>
      <c r="O101" s="182"/>
      <c r="P101" s="49"/>
      <c r="Q101" s="49"/>
      <c r="R101" s="140"/>
      <c r="S101" s="140"/>
      <c r="T101" s="49"/>
      <c r="U101" s="49"/>
      <c r="V101" s="182"/>
      <c r="W101" s="182">
        <v>2</v>
      </c>
      <c r="X101" s="49"/>
      <c r="Y101" s="49"/>
      <c r="Z101" s="49">
        <v>2</v>
      </c>
      <c r="AA101" s="146"/>
      <c r="AB101" s="146"/>
      <c r="AC101" s="49"/>
      <c r="AD101" s="49"/>
      <c r="AE101" s="182"/>
      <c r="AF101" s="182"/>
      <c r="AG101" s="49">
        <v>1</v>
      </c>
      <c r="AH101" s="49"/>
      <c r="AI101" s="146"/>
      <c r="AJ101" s="146"/>
      <c r="AK101" s="49"/>
      <c r="AL101" s="49"/>
      <c r="AM101" s="182"/>
      <c r="AN101" s="182"/>
      <c r="AO101" s="159"/>
      <c r="AP101" s="159"/>
      <c r="AQ101" s="162"/>
      <c r="AR101" s="162"/>
      <c r="AS101" s="159"/>
      <c r="AT101" s="159"/>
      <c r="AU101" s="159"/>
      <c r="AV101" s="159"/>
      <c r="AW101" s="159"/>
      <c r="AX101" s="159"/>
      <c r="AY101" s="159"/>
      <c r="AZ101" s="159"/>
      <c r="BA101" s="159"/>
      <c r="BB101" s="232"/>
      <c r="BC101" s="334"/>
      <c r="BD101" s="335"/>
    </row>
    <row r="102" spans="1:56">
      <c r="A102" s="359"/>
      <c r="B102" s="348"/>
      <c r="C102" s="348"/>
      <c r="D102" s="49">
        <f t="shared" si="5"/>
        <v>3</v>
      </c>
      <c r="E102" s="49">
        <v>0</v>
      </c>
      <c r="F102" s="49" t="s">
        <v>39</v>
      </c>
      <c r="G102" s="49">
        <v>6.5</v>
      </c>
      <c r="H102" s="224">
        <f t="shared" si="4"/>
        <v>0</v>
      </c>
      <c r="I102" s="43">
        <v>123</v>
      </c>
      <c r="J102" s="372"/>
      <c r="K102" s="170"/>
      <c r="L102" s="49"/>
      <c r="M102" s="49"/>
      <c r="N102" s="182"/>
      <c r="O102" s="182"/>
      <c r="P102" s="49"/>
      <c r="Q102" s="49"/>
      <c r="R102" s="140"/>
      <c r="S102" s="140"/>
      <c r="T102" s="49"/>
      <c r="U102" s="49"/>
      <c r="V102" s="182"/>
      <c r="W102" s="182">
        <v>2</v>
      </c>
      <c r="X102" s="49"/>
      <c r="Y102" s="49">
        <v>2</v>
      </c>
      <c r="Z102" s="49"/>
      <c r="AA102" s="146"/>
      <c r="AB102" s="146"/>
      <c r="AC102" s="49"/>
      <c r="AD102" s="49">
        <v>2.5</v>
      </c>
      <c r="AE102" s="182"/>
      <c r="AF102" s="182"/>
      <c r="AG102" s="49"/>
      <c r="AH102" s="49"/>
      <c r="AI102" s="146"/>
      <c r="AJ102" s="146"/>
      <c r="AK102" s="49"/>
      <c r="AL102" s="49"/>
      <c r="AM102" s="182"/>
      <c r="AN102" s="182"/>
      <c r="AO102" s="159"/>
      <c r="AP102" s="159"/>
      <c r="AQ102" s="162"/>
      <c r="AR102" s="162"/>
      <c r="AS102" s="159"/>
      <c r="AT102" s="159"/>
      <c r="AU102" s="159"/>
      <c r="AV102" s="159"/>
      <c r="AW102" s="159"/>
      <c r="AX102" s="159"/>
      <c r="AY102" s="159"/>
      <c r="AZ102" s="159"/>
      <c r="BA102" s="159"/>
      <c r="BB102" s="232"/>
      <c r="BC102" s="334"/>
      <c r="BD102" s="335"/>
    </row>
    <row r="103" spans="1:56">
      <c r="A103" s="359"/>
      <c r="B103" s="348"/>
      <c r="C103" s="348"/>
      <c r="D103" s="49">
        <f t="shared" si="5"/>
        <v>0</v>
      </c>
      <c r="E103" s="49">
        <v>0</v>
      </c>
      <c r="F103" s="49" t="s">
        <v>78</v>
      </c>
      <c r="G103" s="49">
        <v>12.5</v>
      </c>
      <c r="H103" s="224">
        <f t="shared" si="4"/>
        <v>12.5</v>
      </c>
      <c r="I103" s="43"/>
      <c r="J103" s="372"/>
      <c r="K103" s="170"/>
      <c r="L103" s="49"/>
      <c r="M103" s="49"/>
      <c r="N103" s="182"/>
      <c r="O103" s="182"/>
      <c r="P103" s="49"/>
      <c r="Q103" s="49"/>
      <c r="R103" s="140"/>
      <c r="S103" s="140"/>
      <c r="T103" s="49"/>
      <c r="U103" s="49"/>
      <c r="V103" s="182"/>
      <c r="W103" s="182"/>
      <c r="X103" s="49"/>
      <c r="Y103" s="49"/>
      <c r="Z103" s="49"/>
      <c r="AA103" s="146"/>
      <c r="AB103" s="146"/>
      <c r="AC103" s="49"/>
      <c r="AD103" s="49"/>
      <c r="AE103" s="182"/>
      <c r="AF103" s="182"/>
      <c r="AG103" s="49"/>
      <c r="AH103" s="49"/>
      <c r="AI103" s="146"/>
      <c r="AJ103" s="146"/>
      <c r="AK103" s="49"/>
      <c r="AL103" s="49"/>
      <c r="AM103" s="182"/>
      <c r="AN103" s="182"/>
      <c r="AO103" s="159"/>
      <c r="AP103" s="159"/>
      <c r="AQ103" s="162"/>
      <c r="AR103" s="162"/>
      <c r="AS103" s="159"/>
      <c r="AT103" s="159"/>
      <c r="AU103" s="159"/>
      <c r="AV103" s="159"/>
      <c r="AW103" s="159"/>
      <c r="AX103" s="159"/>
      <c r="AY103" s="159"/>
      <c r="AZ103" s="159"/>
      <c r="BA103" s="159"/>
      <c r="BB103" s="232"/>
      <c r="BC103" s="334"/>
      <c r="BD103" s="335"/>
    </row>
    <row r="104" spans="1:56">
      <c r="A104" s="359"/>
      <c r="B104" s="348"/>
      <c r="C104" s="348" t="s">
        <v>171</v>
      </c>
      <c r="D104" s="49">
        <f t="shared" si="5"/>
        <v>2</v>
      </c>
      <c r="E104" s="49">
        <v>0</v>
      </c>
      <c r="F104" s="49" t="s">
        <v>36</v>
      </c>
      <c r="G104" s="49">
        <v>4</v>
      </c>
      <c r="H104" s="224">
        <f t="shared" si="4"/>
        <v>0</v>
      </c>
      <c r="I104" s="43">
        <v>123</v>
      </c>
      <c r="J104" s="372"/>
      <c r="K104" s="170"/>
      <c r="L104" s="49"/>
      <c r="M104" s="49"/>
      <c r="N104" s="182"/>
      <c r="O104" s="182"/>
      <c r="P104" s="49"/>
      <c r="Q104" s="49"/>
      <c r="R104" s="140"/>
      <c r="S104" s="140"/>
      <c r="T104" s="49"/>
      <c r="U104" s="49"/>
      <c r="V104" s="182">
        <v>2</v>
      </c>
      <c r="W104" s="182"/>
      <c r="X104" s="49"/>
      <c r="Y104" s="49"/>
      <c r="Z104" s="49">
        <v>2</v>
      </c>
      <c r="AA104" s="146"/>
      <c r="AB104" s="146"/>
      <c r="AC104" s="49"/>
      <c r="AD104" s="49"/>
      <c r="AE104" s="182"/>
      <c r="AF104" s="182"/>
      <c r="AG104" s="49"/>
      <c r="AH104" s="49"/>
      <c r="AI104" s="146"/>
      <c r="AJ104" s="146"/>
      <c r="AK104" s="49"/>
      <c r="AL104" s="49"/>
      <c r="AM104" s="182"/>
      <c r="AN104" s="182"/>
      <c r="AO104" s="159"/>
      <c r="AP104" s="159"/>
      <c r="AQ104" s="162"/>
      <c r="AR104" s="162"/>
      <c r="AS104" s="159"/>
      <c r="AT104" s="159"/>
      <c r="AU104" s="159"/>
      <c r="AV104" s="159"/>
      <c r="AW104" s="159"/>
      <c r="AX104" s="159"/>
      <c r="AY104" s="159"/>
      <c r="AZ104" s="159"/>
      <c r="BA104" s="159"/>
      <c r="BB104" s="232"/>
      <c r="BC104" s="334"/>
      <c r="BD104" s="335"/>
    </row>
    <row r="105" spans="1:56">
      <c r="A105" s="359"/>
      <c r="B105" s="348"/>
      <c r="C105" s="348"/>
      <c r="D105" s="49">
        <f t="shared" si="5"/>
        <v>3</v>
      </c>
      <c r="E105" s="49">
        <v>0</v>
      </c>
      <c r="F105" s="49" t="s">
        <v>39</v>
      </c>
      <c r="G105" s="49">
        <v>6.5</v>
      </c>
      <c r="H105" s="224">
        <f t="shared" si="4"/>
        <v>0</v>
      </c>
      <c r="I105" s="43">
        <v>123</v>
      </c>
      <c r="J105" s="372"/>
      <c r="K105" s="170"/>
      <c r="L105" s="49"/>
      <c r="M105" s="49"/>
      <c r="N105" s="182"/>
      <c r="O105" s="182"/>
      <c r="P105" s="49"/>
      <c r="Q105" s="49"/>
      <c r="R105" s="140"/>
      <c r="S105" s="140"/>
      <c r="T105" s="49"/>
      <c r="U105" s="49"/>
      <c r="V105" s="182">
        <v>2</v>
      </c>
      <c r="W105" s="182"/>
      <c r="X105" s="49"/>
      <c r="Y105" s="49">
        <v>2</v>
      </c>
      <c r="Z105" s="49"/>
      <c r="AA105" s="146"/>
      <c r="AB105" s="146"/>
      <c r="AC105" s="49"/>
      <c r="AD105" s="49">
        <v>2.5</v>
      </c>
      <c r="AE105" s="182"/>
      <c r="AF105" s="182"/>
      <c r="AG105" s="49"/>
      <c r="AH105" s="49"/>
      <c r="AI105" s="146"/>
      <c r="AJ105" s="146"/>
      <c r="AK105" s="49"/>
      <c r="AL105" s="49"/>
      <c r="AM105" s="182"/>
      <c r="AN105" s="182"/>
      <c r="AO105" s="159"/>
      <c r="AP105" s="159"/>
      <c r="AQ105" s="162"/>
      <c r="AR105" s="162"/>
      <c r="AS105" s="159"/>
      <c r="AT105" s="159"/>
      <c r="AU105" s="159"/>
      <c r="AV105" s="159"/>
      <c r="AW105" s="159"/>
      <c r="AX105" s="159"/>
      <c r="AY105" s="159"/>
      <c r="AZ105" s="159"/>
      <c r="BA105" s="159"/>
      <c r="BB105" s="232"/>
      <c r="BC105" s="334"/>
      <c r="BD105" s="335"/>
    </row>
    <row r="106" spans="1:56">
      <c r="A106" s="359"/>
      <c r="B106" s="348"/>
      <c r="C106" s="348"/>
      <c r="D106" s="49">
        <f t="shared" si="5"/>
        <v>0</v>
      </c>
      <c r="E106" s="49">
        <v>0</v>
      </c>
      <c r="F106" s="49" t="s">
        <v>78</v>
      </c>
      <c r="G106" s="49">
        <v>12.5</v>
      </c>
      <c r="H106" s="224">
        <f t="shared" si="4"/>
        <v>12.5</v>
      </c>
      <c r="I106" s="43"/>
      <c r="J106" s="372"/>
      <c r="K106" s="170"/>
      <c r="L106" s="49"/>
      <c r="M106" s="49"/>
      <c r="N106" s="182"/>
      <c r="O106" s="182"/>
      <c r="P106" s="49"/>
      <c r="Q106" s="49"/>
      <c r="R106" s="140"/>
      <c r="S106" s="140"/>
      <c r="T106" s="49"/>
      <c r="U106" s="49"/>
      <c r="V106" s="182"/>
      <c r="W106" s="182"/>
      <c r="X106" s="49"/>
      <c r="Y106" s="49"/>
      <c r="Z106" s="49"/>
      <c r="AA106" s="146"/>
      <c r="AB106" s="146"/>
      <c r="AC106" s="49"/>
      <c r="AD106" s="49"/>
      <c r="AE106" s="182"/>
      <c r="AF106" s="182"/>
      <c r="AG106" s="49"/>
      <c r="AH106" s="49"/>
      <c r="AI106" s="146"/>
      <c r="AJ106" s="146"/>
      <c r="AK106" s="49"/>
      <c r="AL106" s="49"/>
      <c r="AM106" s="182"/>
      <c r="AN106" s="182"/>
      <c r="AO106" s="159"/>
      <c r="AP106" s="159"/>
      <c r="AQ106" s="162"/>
      <c r="AR106" s="162"/>
      <c r="AS106" s="159"/>
      <c r="AT106" s="159"/>
      <c r="AU106" s="159"/>
      <c r="AV106" s="159"/>
      <c r="AW106" s="159"/>
      <c r="AX106" s="159"/>
      <c r="AY106" s="159"/>
      <c r="AZ106" s="159"/>
      <c r="BA106" s="159"/>
      <c r="BB106" s="232"/>
      <c r="BC106" s="334"/>
      <c r="BD106" s="335"/>
    </row>
    <row r="107" spans="1:56">
      <c r="A107" s="359"/>
      <c r="B107" s="348"/>
      <c r="C107" s="49"/>
      <c r="D107" s="49">
        <f t="shared" si="5"/>
        <v>0</v>
      </c>
      <c r="E107" s="49">
        <v>0</v>
      </c>
      <c r="F107" s="49" t="s">
        <v>78</v>
      </c>
      <c r="G107" s="49"/>
      <c r="H107" s="224">
        <f t="shared" si="4"/>
        <v>0</v>
      </c>
      <c r="I107" s="43"/>
      <c r="J107" s="372"/>
      <c r="K107" s="170"/>
      <c r="L107" s="49"/>
      <c r="M107" s="49"/>
      <c r="N107" s="182"/>
      <c r="O107" s="182"/>
      <c r="P107" s="49"/>
      <c r="Q107" s="49"/>
      <c r="R107" s="140"/>
      <c r="S107" s="140"/>
      <c r="T107" s="49"/>
      <c r="U107" s="49"/>
      <c r="V107" s="182"/>
      <c r="W107" s="182"/>
      <c r="X107" s="49"/>
      <c r="Y107" s="49"/>
      <c r="Z107" s="49"/>
      <c r="AA107" s="146"/>
      <c r="AB107" s="146"/>
      <c r="AC107" s="49"/>
      <c r="AD107" s="49"/>
      <c r="AE107" s="182"/>
      <c r="AF107" s="182"/>
      <c r="AG107" s="49"/>
      <c r="AH107" s="49"/>
      <c r="AI107" s="146"/>
      <c r="AJ107" s="146"/>
      <c r="AK107" s="49"/>
      <c r="AL107" s="49"/>
      <c r="AM107" s="182"/>
      <c r="AN107" s="182"/>
      <c r="AO107" s="159"/>
      <c r="AP107" s="159"/>
      <c r="AQ107" s="162"/>
      <c r="AR107" s="162"/>
      <c r="AS107" s="159"/>
      <c r="AT107" s="159"/>
      <c r="AU107" s="159"/>
      <c r="AV107" s="159"/>
      <c r="AW107" s="159"/>
      <c r="AX107" s="159"/>
      <c r="AY107" s="159"/>
      <c r="AZ107" s="159"/>
      <c r="BA107" s="159"/>
      <c r="BB107" s="232"/>
      <c r="BC107" s="334"/>
      <c r="BD107" s="335"/>
    </row>
    <row r="108" spans="1:56">
      <c r="A108" s="359"/>
      <c r="B108" s="348"/>
      <c r="C108" s="348" t="s">
        <v>192</v>
      </c>
      <c r="D108" s="49">
        <f t="shared" si="5"/>
        <v>0</v>
      </c>
      <c r="E108" s="49">
        <v>1</v>
      </c>
      <c r="F108" s="49" t="s">
        <v>36</v>
      </c>
      <c r="G108" s="49">
        <v>0</v>
      </c>
      <c r="H108" s="224">
        <f t="shared" si="4"/>
        <v>0</v>
      </c>
      <c r="I108" s="43"/>
      <c r="J108" s="372" t="s">
        <v>37</v>
      </c>
      <c r="K108" s="170"/>
      <c r="L108" s="49"/>
      <c r="M108" s="49"/>
      <c r="N108" s="182"/>
      <c r="O108" s="182"/>
      <c r="P108" s="49"/>
      <c r="Q108" s="49"/>
      <c r="R108" s="140"/>
      <c r="S108" s="140"/>
      <c r="T108" s="49"/>
      <c r="U108" s="49"/>
      <c r="V108" s="182"/>
      <c r="W108" s="182"/>
      <c r="X108" s="49"/>
      <c r="Y108" s="49"/>
      <c r="Z108" s="49"/>
      <c r="AA108" s="146"/>
      <c r="AB108" s="146"/>
      <c r="AC108" s="49"/>
      <c r="AD108" s="49"/>
      <c r="AE108" s="182"/>
      <c r="AF108" s="182"/>
      <c r="AG108" s="49"/>
      <c r="AH108" s="49"/>
      <c r="AI108" s="146"/>
      <c r="AJ108" s="146"/>
      <c r="AK108" s="49"/>
      <c r="AL108" s="49"/>
      <c r="AM108" s="182"/>
      <c r="AN108" s="182"/>
      <c r="AO108" s="49"/>
      <c r="AP108" s="49"/>
      <c r="AQ108" s="146"/>
      <c r="AR108" s="146"/>
      <c r="AS108" s="49"/>
      <c r="AT108" s="49"/>
      <c r="AU108" s="182"/>
      <c r="AV108" s="182"/>
      <c r="AW108" s="182"/>
      <c r="AX108" s="182"/>
      <c r="AY108" s="49"/>
      <c r="AZ108" s="49"/>
      <c r="BA108" s="182"/>
      <c r="BB108" s="233"/>
      <c r="BC108" s="334"/>
      <c r="BD108" s="335"/>
    </row>
    <row r="109" spans="1:56">
      <c r="A109" s="359"/>
      <c r="B109" s="348"/>
      <c r="C109" s="348"/>
      <c r="D109" s="49">
        <f t="shared" si="5"/>
        <v>0</v>
      </c>
      <c r="E109" s="49">
        <v>1</v>
      </c>
      <c r="F109" s="49" t="s">
        <v>39</v>
      </c>
      <c r="G109" s="49">
        <v>0</v>
      </c>
      <c r="H109" s="224">
        <f t="shared" si="4"/>
        <v>0</v>
      </c>
      <c r="I109" s="43"/>
      <c r="J109" s="372"/>
      <c r="K109" s="170"/>
      <c r="L109" s="49"/>
      <c r="M109" s="49"/>
      <c r="N109" s="182"/>
      <c r="O109" s="182"/>
      <c r="P109" s="49"/>
      <c r="Q109" s="49"/>
      <c r="R109" s="140"/>
      <c r="S109" s="140"/>
      <c r="T109" s="49"/>
      <c r="U109" s="49"/>
      <c r="V109" s="182"/>
      <c r="W109" s="182"/>
      <c r="X109" s="49"/>
      <c r="Y109" s="49"/>
      <c r="Z109" s="49"/>
      <c r="AA109" s="146"/>
      <c r="AB109" s="146"/>
      <c r="AC109" s="49"/>
      <c r="AD109" s="49"/>
      <c r="AE109" s="182"/>
      <c r="AF109" s="182"/>
      <c r="AG109" s="49"/>
      <c r="AH109" s="49"/>
      <c r="AI109" s="146"/>
      <c r="AJ109" s="146"/>
      <c r="AK109" s="49"/>
      <c r="AL109" s="49"/>
      <c r="AM109" s="182"/>
      <c r="AN109" s="182"/>
      <c r="AO109" s="49"/>
      <c r="AP109" s="49"/>
      <c r="AQ109" s="146"/>
      <c r="AR109" s="146"/>
      <c r="AS109" s="49"/>
      <c r="AT109" s="49"/>
      <c r="AU109" s="182"/>
      <c r="AV109" s="182"/>
      <c r="AW109" s="182"/>
      <c r="AX109" s="182"/>
      <c r="AY109" s="49"/>
      <c r="AZ109" s="49"/>
      <c r="BA109" s="182"/>
      <c r="BB109" s="233"/>
      <c r="BC109" s="334"/>
      <c r="BD109" s="335"/>
    </row>
    <row r="110" spans="1:56" ht="15.75" thickBot="1">
      <c r="A110" s="360"/>
      <c r="B110" s="320"/>
      <c r="C110" s="320"/>
      <c r="D110" s="51">
        <f t="shared" si="5"/>
        <v>0</v>
      </c>
      <c r="E110" s="51">
        <v>1</v>
      </c>
      <c r="F110" s="51" t="s">
        <v>78</v>
      </c>
      <c r="G110" s="51">
        <v>0</v>
      </c>
      <c r="H110" s="225">
        <f t="shared" si="4"/>
        <v>0</v>
      </c>
      <c r="I110" s="46"/>
      <c r="J110" s="376"/>
      <c r="K110" s="171"/>
      <c r="L110" s="51"/>
      <c r="M110" s="51"/>
      <c r="N110" s="183"/>
      <c r="O110" s="183"/>
      <c r="P110" s="51"/>
      <c r="Q110" s="51"/>
      <c r="R110" s="141"/>
      <c r="S110" s="141"/>
      <c r="T110" s="51"/>
      <c r="U110" s="51"/>
      <c r="V110" s="183"/>
      <c r="W110" s="183"/>
      <c r="X110" s="51"/>
      <c r="Y110" s="51"/>
      <c r="Z110" s="51"/>
      <c r="AA110" s="147"/>
      <c r="AB110" s="147"/>
      <c r="AC110" s="51"/>
      <c r="AD110" s="51"/>
      <c r="AE110" s="183"/>
      <c r="AF110" s="183"/>
      <c r="AG110" s="51"/>
      <c r="AH110" s="51"/>
      <c r="AI110" s="147"/>
      <c r="AJ110" s="147"/>
      <c r="AK110" s="51"/>
      <c r="AL110" s="51"/>
      <c r="AM110" s="183"/>
      <c r="AN110" s="183"/>
      <c r="AO110" s="51"/>
      <c r="AP110" s="51"/>
      <c r="AQ110" s="147"/>
      <c r="AR110" s="147"/>
      <c r="AS110" s="51"/>
      <c r="AT110" s="51"/>
      <c r="AU110" s="183"/>
      <c r="AV110" s="183"/>
      <c r="AW110" s="183"/>
      <c r="AX110" s="183"/>
      <c r="AY110" s="51"/>
      <c r="AZ110" s="51"/>
      <c r="BA110" s="183"/>
      <c r="BB110" s="235"/>
      <c r="BC110" s="336"/>
      <c r="BD110" s="337"/>
    </row>
    <row r="111" spans="1:56" ht="15.75" thickTop="1">
      <c r="A111" s="358" t="s">
        <v>193</v>
      </c>
      <c r="B111" s="319" t="s">
        <v>194</v>
      </c>
      <c r="C111" s="319" t="s">
        <v>73</v>
      </c>
      <c r="D111" s="50">
        <f t="shared" si="5"/>
        <v>5</v>
      </c>
      <c r="E111" s="50">
        <v>1</v>
      </c>
      <c r="F111" s="50" t="s">
        <v>36</v>
      </c>
      <c r="G111" s="50">
        <v>12</v>
      </c>
      <c r="H111" s="223">
        <f t="shared" si="4"/>
        <v>0</v>
      </c>
      <c r="I111" s="45" t="s">
        <v>34</v>
      </c>
      <c r="J111" s="371" t="s">
        <v>37</v>
      </c>
      <c r="K111" s="169"/>
      <c r="L111" s="50">
        <v>1.5</v>
      </c>
      <c r="M111" s="50">
        <v>3</v>
      </c>
      <c r="N111" s="181"/>
      <c r="O111" s="181"/>
      <c r="P111" s="50">
        <v>3</v>
      </c>
      <c r="Q111" s="50">
        <v>3</v>
      </c>
      <c r="R111" s="139"/>
      <c r="S111" s="139"/>
      <c r="T111" s="50">
        <v>1.5</v>
      </c>
      <c r="U111" s="50"/>
      <c r="V111" s="181"/>
      <c r="W111" s="181"/>
      <c r="X111" s="50"/>
      <c r="Y111" s="50"/>
      <c r="Z111" s="50"/>
      <c r="AA111" s="145"/>
      <c r="AB111" s="145"/>
      <c r="AC111" s="50"/>
      <c r="AD111" s="50"/>
      <c r="AE111" s="181"/>
      <c r="AF111" s="181"/>
      <c r="AG111" s="50"/>
      <c r="AH111" s="50"/>
      <c r="AI111" s="145"/>
      <c r="AJ111" s="145"/>
      <c r="AK111" s="50"/>
      <c r="AL111" s="50"/>
      <c r="AM111" s="181"/>
      <c r="AN111" s="181"/>
      <c r="AO111" s="50"/>
      <c r="AP111" s="50"/>
      <c r="AQ111" s="145"/>
      <c r="AR111" s="145"/>
      <c r="AS111" s="50"/>
      <c r="AT111" s="50"/>
      <c r="AU111" s="181"/>
      <c r="AV111" s="181"/>
      <c r="AW111" s="181"/>
      <c r="AX111" s="181"/>
      <c r="AY111" s="50"/>
      <c r="AZ111" s="50"/>
      <c r="BA111" s="181"/>
      <c r="BB111" s="236"/>
      <c r="BC111" s="332"/>
      <c r="BD111" s="333"/>
    </row>
    <row r="112" spans="1:56">
      <c r="A112" s="359"/>
      <c r="B112" s="348"/>
      <c r="C112" s="348"/>
      <c r="D112" s="49">
        <f t="shared" si="5"/>
        <v>5</v>
      </c>
      <c r="E112" s="49">
        <v>1</v>
      </c>
      <c r="F112" s="49" t="s">
        <v>39</v>
      </c>
      <c r="G112" s="49">
        <v>15</v>
      </c>
      <c r="H112" s="224">
        <f t="shared" si="4"/>
        <v>0</v>
      </c>
      <c r="I112" s="43">
        <v>124</v>
      </c>
      <c r="J112" s="372"/>
      <c r="K112" s="170"/>
      <c r="L112" s="49"/>
      <c r="M112" s="49"/>
      <c r="N112" s="182"/>
      <c r="O112" s="182"/>
      <c r="P112" s="49"/>
      <c r="Q112" s="49">
        <v>3</v>
      </c>
      <c r="R112" s="140"/>
      <c r="S112" s="140"/>
      <c r="T112" s="49">
        <v>3</v>
      </c>
      <c r="U112" s="49">
        <v>3</v>
      </c>
      <c r="V112" s="182"/>
      <c r="W112" s="182"/>
      <c r="X112" s="49">
        <v>3</v>
      </c>
      <c r="Y112" s="49"/>
      <c r="Z112" s="49">
        <v>3</v>
      </c>
      <c r="AA112" s="146"/>
      <c r="AB112" s="146"/>
      <c r="AC112" s="49"/>
      <c r="AD112" s="49"/>
      <c r="AE112" s="182"/>
      <c r="AF112" s="182"/>
      <c r="AG112" s="49"/>
      <c r="AH112" s="49"/>
      <c r="AI112" s="146"/>
      <c r="AJ112" s="146"/>
      <c r="AK112" s="49"/>
      <c r="AL112" s="49"/>
      <c r="AM112" s="182"/>
      <c r="AN112" s="182"/>
      <c r="AO112" s="49"/>
      <c r="AP112" s="49"/>
      <c r="AQ112" s="146"/>
      <c r="AR112" s="146"/>
      <c r="AS112" s="49"/>
      <c r="AT112" s="49"/>
      <c r="AU112" s="182"/>
      <c r="AV112" s="182"/>
      <c r="AW112" s="182"/>
      <c r="AX112" s="182"/>
      <c r="AY112" s="49"/>
      <c r="AZ112" s="49"/>
      <c r="BA112" s="182"/>
      <c r="BB112" s="233"/>
      <c r="BC112" s="334"/>
      <c r="BD112" s="335"/>
    </row>
    <row r="113" spans="1:56">
      <c r="A113" s="359"/>
      <c r="B113" s="348"/>
      <c r="C113" s="348"/>
      <c r="D113" s="49">
        <f t="shared" si="5"/>
        <v>8</v>
      </c>
      <c r="E113" s="49">
        <v>1</v>
      </c>
      <c r="F113" s="49" t="s">
        <v>78</v>
      </c>
      <c r="G113" s="49">
        <v>37.5</v>
      </c>
      <c r="H113" s="224">
        <f t="shared" si="4"/>
        <v>0</v>
      </c>
      <c r="I113" s="43"/>
      <c r="J113" s="372"/>
      <c r="K113" s="170"/>
      <c r="L113" s="49">
        <v>3</v>
      </c>
      <c r="M113" s="49">
        <v>6</v>
      </c>
      <c r="N113" s="182"/>
      <c r="O113" s="182"/>
      <c r="P113" s="49">
        <v>4.5</v>
      </c>
      <c r="Q113" s="49">
        <v>4.5</v>
      </c>
      <c r="R113" s="140"/>
      <c r="S113" s="140"/>
      <c r="T113" s="49">
        <v>6</v>
      </c>
      <c r="U113" s="49">
        <v>6</v>
      </c>
      <c r="V113" s="182"/>
      <c r="W113" s="182"/>
      <c r="X113" s="49">
        <v>3</v>
      </c>
      <c r="Y113" s="49"/>
      <c r="Z113" s="49">
        <v>4.5</v>
      </c>
      <c r="AA113" s="146"/>
      <c r="AB113" s="146"/>
      <c r="AC113" s="49"/>
      <c r="AD113" s="49"/>
      <c r="AE113" s="182"/>
      <c r="AF113" s="182"/>
      <c r="AG113" s="49"/>
      <c r="AH113" s="49"/>
      <c r="AI113" s="146"/>
      <c r="AJ113" s="146"/>
      <c r="AK113" s="49"/>
      <c r="AL113" s="49"/>
      <c r="AM113" s="182"/>
      <c r="AN113" s="182"/>
      <c r="AO113" s="49"/>
      <c r="AP113" s="49"/>
      <c r="AQ113" s="146"/>
      <c r="AR113" s="146"/>
      <c r="AS113" s="49"/>
      <c r="AT113" s="49"/>
      <c r="AU113" s="182"/>
      <c r="AV113" s="182"/>
      <c r="AW113" s="182"/>
      <c r="AX113" s="182"/>
      <c r="AY113" s="49"/>
      <c r="AZ113" s="49"/>
      <c r="BA113" s="182"/>
      <c r="BB113" s="233"/>
      <c r="BC113" s="334"/>
      <c r="BD113" s="335"/>
    </row>
    <row r="114" spans="1:56">
      <c r="A114" s="359"/>
      <c r="B114" s="348"/>
      <c r="C114" s="348" t="s">
        <v>44</v>
      </c>
      <c r="D114" s="49">
        <f t="shared" si="5"/>
        <v>8</v>
      </c>
      <c r="E114" s="49">
        <v>0</v>
      </c>
      <c r="F114" s="49" t="s">
        <v>36</v>
      </c>
      <c r="G114" s="49">
        <v>12</v>
      </c>
      <c r="H114" s="224">
        <f t="shared" si="4"/>
        <v>0</v>
      </c>
      <c r="I114" s="43">
        <v>123</v>
      </c>
      <c r="J114" s="372" t="s">
        <v>35</v>
      </c>
      <c r="K114" s="170"/>
      <c r="L114" s="49">
        <v>1.5</v>
      </c>
      <c r="M114" s="49">
        <v>1.5</v>
      </c>
      <c r="N114" s="182">
        <v>1.5</v>
      </c>
      <c r="O114" s="182">
        <v>1.5</v>
      </c>
      <c r="P114" s="49">
        <v>1.5</v>
      </c>
      <c r="Q114" s="49">
        <v>1.5</v>
      </c>
      <c r="R114" s="140"/>
      <c r="S114" s="140"/>
      <c r="T114" s="49">
        <v>1.5</v>
      </c>
      <c r="U114" s="49">
        <v>1.5</v>
      </c>
      <c r="V114" s="182"/>
      <c r="W114" s="182"/>
      <c r="X114" s="49"/>
      <c r="Y114" s="49"/>
      <c r="Z114" s="49"/>
      <c r="AA114" s="146"/>
      <c r="AB114" s="146"/>
      <c r="AC114" s="49"/>
      <c r="AD114" s="49"/>
      <c r="AE114" s="182"/>
      <c r="AF114" s="182"/>
      <c r="AG114" s="49"/>
      <c r="AH114" s="49"/>
      <c r="AI114" s="146"/>
      <c r="AJ114" s="146"/>
      <c r="AK114" s="49"/>
      <c r="AL114" s="49"/>
      <c r="AM114" s="182"/>
      <c r="AN114" s="182"/>
      <c r="AO114" s="159"/>
      <c r="AP114" s="159"/>
      <c r="AQ114" s="162"/>
      <c r="AR114" s="162"/>
      <c r="AS114" s="159"/>
      <c r="AT114" s="159"/>
      <c r="AU114" s="159"/>
      <c r="AV114" s="159"/>
      <c r="AW114" s="159"/>
      <c r="AX114" s="159"/>
      <c r="AY114" s="159"/>
      <c r="AZ114" s="159"/>
      <c r="BA114" s="159"/>
      <c r="BB114" s="232"/>
      <c r="BC114" s="334"/>
      <c r="BD114" s="335"/>
    </row>
    <row r="115" spans="1:56">
      <c r="A115" s="359"/>
      <c r="B115" s="348"/>
      <c r="C115" s="348"/>
      <c r="D115" s="49">
        <f t="shared" si="5"/>
        <v>5</v>
      </c>
      <c r="E115" s="49">
        <v>0</v>
      </c>
      <c r="F115" s="49" t="s">
        <v>39</v>
      </c>
      <c r="G115" s="49">
        <v>15</v>
      </c>
      <c r="H115" s="224">
        <f t="shared" si="4"/>
        <v>0</v>
      </c>
      <c r="I115" s="43">
        <v>123</v>
      </c>
      <c r="J115" s="372"/>
      <c r="K115" s="170"/>
      <c r="L115" s="49"/>
      <c r="M115" s="49"/>
      <c r="N115" s="182"/>
      <c r="O115" s="182"/>
      <c r="P115" s="49"/>
      <c r="Q115" s="49"/>
      <c r="R115" s="140"/>
      <c r="S115" s="140"/>
      <c r="T115" s="49"/>
      <c r="U115" s="49"/>
      <c r="V115" s="182">
        <v>3</v>
      </c>
      <c r="W115" s="182">
        <v>3</v>
      </c>
      <c r="X115" s="49">
        <v>3</v>
      </c>
      <c r="Y115" s="49">
        <v>3</v>
      </c>
      <c r="Z115" s="49">
        <v>3</v>
      </c>
      <c r="AA115" s="146"/>
      <c r="AB115" s="146"/>
      <c r="AC115" s="49"/>
      <c r="AD115" s="49"/>
      <c r="AE115" s="182"/>
      <c r="AF115" s="182"/>
      <c r="AG115" s="49"/>
      <c r="AH115" s="49"/>
      <c r="AI115" s="146"/>
      <c r="AJ115" s="146"/>
      <c r="AK115" s="49"/>
      <c r="AL115" s="49"/>
      <c r="AM115" s="182"/>
      <c r="AN115" s="182"/>
      <c r="AO115" s="159"/>
      <c r="AP115" s="159"/>
      <c r="AQ115" s="162"/>
      <c r="AR115" s="162"/>
      <c r="AS115" s="159"/>
      <c r="AT115" s="159"/>
      <c r="AU115" s="159"/>
      <c r="AV115" s="159"/>
      <c r="AW115" s="159"/>
      <c r="AX115" s="159"/>
      <c r="AY115" s="159"/>
      <c r="AZ115" s="159"/>
      <c r="BA115" s="159"/>
      <c r="BB115" s="232"/>
      <c r="BC115" s="334"/>
      <c r="BD115" s="335"/>
    </row>
    <row r="116" spans="1:56" ht="15.75" thickBot="1">
      <c r="A116" s="360"/>
      <c r="B116" s="320"/>
      <c r="C116" s="320"/>
      <c r="D116" s="51">
        <f t="shared" si="5"/>
        <v>13</v>
      </c>
      <c r="E116" s="51">
        <v>0</v>
      </c>
      <c r="F116" s="51" t="s">
        <v>78</v>
      </c>
      <c r="G116" s="51">
        <v>37.5</v>
      </c>
      <c r="H116" s="225">
        <f t="shared" si="4"/>
        <v>0</v>
      </c>
      <c r="I116" s="46"/>
      <c r="J116" s="376"/>
      <c r="K116" s="171"/>
      <c r="L116" s="51">
        <v>1.5</v>
      </c>
      <c r="M116" s="51">
        <v>3</v>
      </c>
      <c r="N116" s="183">
        <v>3</v>
      </c>
      <c r="O116" s="183">
        <v>3</v>
      </c>
      <c r="P116" s="51">
        <v>3</v>
      </c>
      <c r="Q116" s="51">
        <v>3</v>
      </c>
      <c r="R116" s="141"/>
      <c r="S116" s="141"/>
      <c r="T116" s="51">
        <v>3</v>
      </c>
      <c r="U116" s="51">
        <v>3</v>
      </c>
      <c r="V116" s="183">
        <v>3</v>
      </c>
      <c r="W116" s="183">
        <v>3</v>
      </c>
      <c r="X116" s="51">
        <v>3</v>
      </c>
      <c r="Y116" s="51">
        <v>3</v>
      </c>
      <c r="Z116" s="51">
        <v>3</v>
      </c>
      <c r="AA116" s="147"/>
      <c r="AB116" s="147"/>
      <c r="AC116" s="51"/>
      <c r="AD116" s="51"/>
      <c r="AE116" s="183"/>
      <c r="AF116" s="183"/>
      <c r="AG116" s="51"/>
      <c r="AH116" s="51"/>
      <c r="AI116" s="147"/>
      <c r="AJ116" s="147"/>
      <c r="AK116" s="51"/>
      <c r="AL116" s="51"/>
      <c r="AM116" s="183"/>
      <c r="AN116" s="183"/>
      <c r="AO116" s="163"/>
      <c r="AP116" s="163"/>
      <c r="AQ116" s="164"/>
      <c r="AR116" s="164"/>
      <c r="AS116" s="163"/>
      <c r="AT116" s="163"/>
      <c r="AU116" s="163"/>
      <c r="AV116" s="163"/>
      <c r="AW116" s="163"/>
      <c r="AX116" s="163"/>
      <c r="AY116" s="163"/>
      <c r="AZ116" s="163"/>
      <c r="BA116" s="163"/>
      <c r="BB116" s="237"/>
      <c r="BC116" s="336"/>
      <c r="BD116" s="337"/>
    </row>
    <row r="117" spans="1:56" ht="15.75" thickTop="1">
      <c r="A117" s="317" t="s">
        <v>195</v>
      </c>
      <c r="B117" s="319" t="s">
        <v>92</v>
      </c>
      <c r="C117" s="50"/>
      <c r="D117" s="50">
        <f t="shared" si="5"/>
        <v>0</v>
      </c>
      <c r="E117" s="50"/>
      <c r="F117" s="50" t="s">
        <v>36</v>
      </c>
      <c r="G117" s="50">
        <v>10</v>
      </c>
      <c r="H117" s="223">
        <f t="shared" si="4"/>
        <v>10</v>
      </c>
      <c r="I117" s="45"/>
      <c r="J117" s="150" t="s">
        <v>35</v>
      </c>
      <c r="K117" s="169"/>
      <c r="L117" s="50"/>
      <c r="M117" s="50"/>
      <c r="N117" s="181"/>
      <c r="O117" s="181"/>
      <c r="P117" s="50"/>
      <c r="Q117" s="50"/>
      <c r="R117" s="139"/>
      <c r="S117" s="139"/>
      <c r="T117" s="50"/>
      <c r="U117" s="50"/>
      <c r="V117" s="181"/>
      <c r="W117" s="181"/>
      <c r="X117" s="50"/>
      <c r="Y117" s="50"/>
      <c r="Z117" s="50"/>
      <c r="AA117" s="145"/>
      <c r="AB117" s="145"/>
      <c r="AC117" s="50"/>
      <c r="AD117" s="50"/>
      <c r="AE117" s="181"/>
      <c r="AF117" s="181"/>
      <c r="AG117" s="50"/>
      <c r="AH117" s="50"/>
      <c r="AI117" s="145"/>
      <c r="AJ117" s="145"/>
      <c r="AK117" s="50"/>
      <c r="AL117" s="50"/>
      <c r="AM117" s="181"/>
      <c r="AN117" s="181"/>
      <c r="AO117" s="160"/>
      <c r="AP117" s="160"/>
      <c r="AQ117" s="161"/>
      <c r="AR117" s="161"/>
      <c r="AS117" s="160"/>
      <c r="AT117" s="160"/>
      <c r="AU117" s="181"/>
      <c r="AV117" s="181"/>
      <c r="AW117" s="160"/>
      <c r="AX117" s="160"/>
      <c r="AY117" s="160"/>
      <c r="AZ117" s="160"/>
      <c r="BA117" s="160"/>
      <c r="BB117" s="231"/>
      <c r="BC117" s="313"/>
      <c r="BD117" s="315"/>
    </row>
    <row r="118" spans="1:56" ht="15.75" thickBot="1">
      <c r="A118" s="318"/>
      <c r="B118" s="320"/>
      <c r="C118" s="51"/>
      <c r="D118" s="51">
        <f t="shared" si="5"/>
        <v>0</v>
      </c>
      <c r="E118" s="51"/>
      <c r="F118" s="46" t="s">
        <v>36</v>
      </c>
      <c r="G118" s="51">
        <v>10</v>
      </c>
      <c r="H118" s="225">
        <f t="shared" si="4"/>
        <v>10</v>
      </c>
      <c r="I118" s="46"/>
      <c r="J118" s="152" t="s">
        <v>37</v>
      </c>
      <c r="K118" s="171"/>
      <c r="L118" s="51"/>
      <c r="M118" s="51"/>
      <c r="N118" s="183"/>
      <c r="O118" s="183"/>
      <c r="P118" s="51"/>
      <c r="Q118" s="51"/>
      <c r="R118" s="141"/>
      <c r="S118" s="141"/>
      <c r="T118" s="51"/>
      <c r="U118" s="51"/>
      <c r="V118" s="183"/>
      <c r="W118" s="183"/>
      <c r="X118" s="51"/>
      <c r="Y118" s="51"/>
      <c r="Z118" s="51"/>
      <c r="AA118" s="147"/>
      <c r="AB118" s="147"/>
      <c r="AC118" s="51"/>
      <c r="AD118" s="51"/>
      <c r="AE118" s="183"/>
      <c r="AF118" s="183"/>
      <c r="AG118" s="51"/>
      <c r="AH118" s="51"/>
      <c r="AI118" s="147"/>
      <c r="AJ118" s="147"/>
      <c r="AK118" s="51"/>
      <c r="AL118" s="51"/>
      <c r="AM118" s="183"/>
      <c r="AN118" s="183"/>
      <c r="AO118" s="51"/>
      <c r="AP118" s="51"/>
      <c r="AQ118" s="147"/>
      <c r="AR118" s="147"/>
      <c r="AS118" s="51"/>
      <c r="AT118" s="51"/>
      <c r="AU118" s="183"/>
      <c r="AV118" s="183"/>
      <c r="AW118" s="183"/>
      <c r="AX118" s="183"/>
      <c r="AY118" s="51"/>
      <c r="AZ118" s="51"/>
      <c r="BA118" s="183"/>
      <c r="BB118" s="235"/>
      <c r="BC118" s="314"/>
      <c r="BD118" s="316"/>
    </row>
    <row r="119" spans="1:56" ht="15.75" thickTop="1">
      <c r="A119" s="317" t="s">
        <v>196</v>
      </c>
      <c r="B119" s="319" t="s">
        <v>197</v>
      </c>
      <c r="C119" s="50"/>
      <c r="D119" s="50">
        <f t="shared" si="5"/>
        <v>0</v>
      </c>
      <c r="E119" s="50"/>
      <c r="F119" s="45" t="s">
        <v>36</v>
      </c>
      <c r="G119" s="50">
        <v>11</v>
      </c>
      <c r="H119" s="223">
        <f t="shared" si="4"/>
        <v>11</v>
      </c>
      <c r="I119" s="45"/>
      <c r="J119" s="150" t="s">
        <v>35</v>
      </c>
      <c r="K119" s="169"/>
      <c r="L119" s="50"/>
      <c r="M119" s="50"/>
      <c r="N119" s="181"/>
      <c r="O119" s="181"/>
      <c r="P119" s="50"/>
      <c r="Q119" s="50"/>
      <c r="R119" s="139"/>
      <c r="S119" s="139"/>
      <c r="T119" s="50"/>
      <c r="U119" s="50"/>
      <c r="V119" s="181"/>
      <c r="W119" s="181"/>
      <c r="X119" s="50"/>
      <c r="Y119" s="50"/>
      <c r="Z119" s="50"/>
      <c r="AA119" s="145"/>
      <c r="AB119" s="145"/>
      <c r="AC119" s="50"/>
      <c r="AD119" s="50"/>
      <c r="AE119" s="181"/>
      <c r="AF119" s="181"/>
      <c r="AG119" s="50"/>
      <c r="AH119" s="50"/>
      <c r="AI119" s="145"/>
      <c r="AJ119" s="145"/>
      <c r="AK119" s="50"/>
      <c r="AL119" s="50"/>
      <c r="AM119" s="181"/>
      <c r="AN119" s="181"/>
      <c r="AO119" s="160"/>
      <c r="AP119" s="160"/>
      <c r="AQ119" s="161"/>
      <c r="AR119" s="161"/>
      <c r="AS119" s="160"/>
      <c r="AT119" s="160"/>
      <c r="AU119" s="160"/>
      <c r="AV119" s="160"/>
      <c r="AW119" s="160"/>
      <c r="AX119" s="160"/>
      <c r="AY119" s="160"/>
      <c r="AZ119" s="160"/>
      <c r="BA119" s="160"/>
      <c r="BB119" s="231"/>
      <c r="BC119" s="313"/>
      <c r="BD119" s="315"/>
    </row>
    <row r="120" spans="1:56" ht="15.75" thickBot="1">
      <c r="A120" s="318"/>
      <c r="B120" s="320"/>
      <c r="C120" s="51"/>
      <c r="D120" s="51">
        <f t="shared" si="5"/>
        <v>0</v>
      </c>
      <c r="E120" s="51"/>
      <c r="F120" s="46" t="s">
        <v>36</v>
      </c>
      <c r="G120" s="51">
        <v>5.5</v>
      </c>
      <c r="H120" s="225">
        <f t="shared" si="4"/>
        <v>5.5</v>
      </c>
      <c r="I120" s="46"/>
      <c r="J120" s="152" t="s">
        <v>37</v>
      </c>
      <c r="K120" s="171"/>
      <c r="L120" s="51"/>
      <c r="M120" s="51"/>
      <c r="N120" s="183"/>
      <c r="O120" s="183"/>
      <c r="P120" s="51"/>
      <c r="Q120" s="51"/>
      <c r="R120" s="141"/>
      <c r="S120" s="141"/>
      <c r="T120" s="51"/>
      <c r="U120" s="51"/>
      <c r="V120" s="183"/>
      <c r="W120" s="183"/>
      <c r="X120" s="51"/>
      <c r="Y120" s="51"/>
      <c r="Z120" s="51"/>
      <c r="AA120" s="147"/>
      <c r="AB120" s="147"/>
      <c r="AC120" s="51"/>
      <c r="AD120" s="51"/>
      <c r="AE120" s="183"/>
      <c r="AF120" s="183"/>
      <c r="AG120" s="51"/>
      <c r="AH120" s="51"/>
      <c r="AI120" s="147"/>
      <c r="AJ120" s="147"/>
      <c r="AK120" s="51"/>
      <c r="AL120" s="51"/>
      <c r="AM120" s="183"/>
      <c r="AN120" s="183"/>
      <c r="AO120" s="51"/>
      <c r="AP120" s="51"/>
      <c r="AQ120" s="147"/>
      <c r="AR120" s="147"/>
      <c r="AS120" s="51"/>
      <c r="AT120" s="51"/>
      <c r="AU120" s="183"/>
      <c r="AV120" s="183"/>
      <c r="AW120" s="183"/>
      <c r="AX120" s="183"/>
      <c r="AY120" s="51"/>
      <c r="AZ120" s="51"/>
      <c r="BA120" s="183"/>
      <c r="BB120" s="235"/>
      <c r="BC120" s="314"/>
      <c r="BD120" s="316"/>
    </row>
    <row r="121" spans="1:56" ht="45.75" customHeight="1" thickTop="1" thickBot="1">
      <c r="A121" s="325" t="s">
        <v>198</v>
      </c>
      <c r="B121" s="325"/>
      <c r="C121" s="325"/>
      <c r="D121" s="325"/>
      <c r="E121" s="325"/>
      <c r="F121" s="325"/>
      <c r="G121" s="325"/>
      <c r="H121" s="325"/>
      <c r="I121" s="325"/>
      <c r="J121" s="325"/>
      <c r="K121" s="325"/>
      <c r="L121" s="325"/>
      <c r="M121" s="325"/>
      <c r="N121" s="325"/>
      <c r="O121" s="325"/>
      <c r="P121" s="325"/>
      <c r="Q121" s="325"/>
      <c r="R121" s="325"/>
      <c r="S121" s="325"/>
      <c r="T121" s="325"/>
      <c r="U121" s="325"/>
      <c r="V121" s="325"/>
      <c r="W121" s="325"/>
      <c r="X121" s="325"/>
      <c r="Y121" s="325"/>
      <c r="Z121" s="325"/>
      <c r="AA121" s="325"/>
      <c r="AB121" s="325"/>
      <c r="AC121" s="325"/>
      <c r="AD121" s="325"/>
      <c r="AE121" s="325"/>
      <c r="AF121" s="325"/>
      <c r="AG121" s="325"/>
      <c r="AH121" s="325"/>
      <c r="AI121" s="325"/>
      <c r="AJ121" s="325"/>
      <c r="AK121" s="325"/>
      <c r="AL121" s="325"/>
      <c r="AM121" s="325"/>
      <c r="AN121" s="325"/>
      <c r="AO121" s="325"/>
      <c r="AP121" s="325"/>
      <c r="AQ121" s="325"/>
      <c r="AR121" s="325"/>
      <c r="AS121" s="325"/>
      <c r="AT121" s="325"/>
      <c r="AU121" s="325"/>
      <c r="AV121" s="325"/>
      <c r="AW121" s="325"/>
      <c r="AX121" s="325"/>
      <c r="AY121" s="325"/>
      <c r="AZ121" s="325"/>
      <c r="BA121" s="325"/>
      <c r="BB121" s="325"/>
      <c r="BC121" s="325"/>
      <c r="BD121" s="325"/>
    </row>
    <row r="122" spans="1:56" ht="15.75" thickTop="1">
      <c r="A122" s="368" t="s">
        <v>199</v>
      </c>
      <c r="B122" s="351" t="s">
        <v>200</v>
      </c>
      <c r="C122" s="377" t="s">
        <v>201</v>
      </c>
      <c r="D122" s="45">
        <f>COUNT(K122:BA122)</f>
        <v>6</v>
      </c>
      <c r="E122" s="45">
        <v>0</v>
      </c>
      <c r="F122" s="45" t="s">
        <v>33</v>
      </c>
      <c r="G122" s="45">
        <v>9</v>
      </c>
      <c r="H122" s="45">
        <f t="shared" ref="H122:H151" si="6">G122-SUM(K122:BA122)</f>
        <v>0</v>
      </c>
      <c r="I122" s="45" t="s">
        <v>34</v>
      </c>
      <c r="J122" s="351" t="s">
        <v>35</v>
      </c>
      <c r="K122" s="178"/>
      <c r="L122" s="45"/>
      <c r="M122" s="45"/>
      <c r="N122" s="178"/>
      <c r="O122" s="178"/>
      <c r="P122" s="45"/>
      <c r="Q122" s="45"/>
      <c r="R122" s="136"/>
      <c r="S122" s="136"/>
      <c r="T122" s="45"/>
      <c r="U122" s="45"/>
      <c r="V122" s="178"/>
      <c r="W122" s="178"/>
      <c r="X122" s="45"/>
      <c r="Y122" s="45"/>
      <c r="Z122" s="45"/>
      <c r="AA122" s="142"/>
      <c r="AB122" s="142"/>
      <c r="AC122" s="45"/>
      <c r="AD122" s="45"/>
      <c r="AE122" s="178"/>
      <c r="AF122" s="178">
        <v>1.5</v>
      </c>
      <c r="AG122" s="45">
        <v>1.5</v>
      </c>
      <c r="AH122" s="45">
        <v>1.5</v>
      </c>
      <c r="AI122" s="142"/>
      <c r="AJ122" s="142"/>
      <c r="AK122" s="45">
        <v>1.5</v>
      </c>
      <c r="AL122" s="45">
        <v>1.5</v>
      </c>
      <c r="AM122" s="178">
        <v>1.5</v>
      </c>
      <c r="AN122" s="178"/>
      <c r="AO122" s="153"/>
      <c r="AP122" s="153"/>
      <c r="AQ122" s="154"/>
      <c r="AR122" s="154"/>
      <c r="AS122" s="153"/>
      <c r="AT122" s="153"/>
      <c r="AU122" s="153"/>
      <c r="AV122" s="153"/>
      <c r="AW122" s="153"/>
      <c r="AX122" s="153"/>
      <c r="AY122" s="153"/>
      <c r="AZ122" s="153"/>
      <c r="BA122" s="153"/>
      <c r="BB122" s="155"/>
      <c r="BC122" s="321"/>
      <c r="BD122" s="322"/>
    </row>
    <row r="123" spans="1:56">
      <c r="A123" s="369"/>
      <c r="B123" s="352"/>
      <c r="C123" s="378"/>
      <c r="D123" s="43">
        <f t="shared" ref="D123:D186" si="7">COUNT(K123:BA123)</f>
        <v>6</v>
      </c>
      <c r="E123" s="43">
        <v>0</v>
      </c>
      <c r="F123" s="43" t="s">
        <v>36</v>
      </c>
      <c r="G123" s="43">
        <v>9</v>
      </c>
      <c r="H123" s="43">
        <f t="shared" si="6"/>
        <v>0</v>
      </c>
      <c r="I123" s="43" t="s">
        <v>34</v>
      </c>
      <c r="J123" s="352"/>
      <c r="K123" s="179"/>
      <c r="L123" s="43"/>
      <c r="M123" s="43"/>
      <c r="N123" s="179"/>
      <c r="O123" s="179"/>
      <c r="P123" s="43"/>
      <c r="Q123" s="43"/>
      <c r="R123" s="137"/>
      <c r="S123" s="137"/>
      <c r="T123" s="43"/>
      <c r="U123" s="43"/>
      <c r="V123" s="179"/>
      <c r="W123" s="179"/>
      <c r="X123" s="43"/>
      <c r="Y123" s="43"/>
      <c r="Z123" s="43"/>
      <c r="AA123" s="143"/>
      <c r="AB123" s="143"/>
      <c r="AC123" s="43"/>
      <c r="AD123" s="43"/>
      <c r="AE123" s="179"/>
      <c r="AF123" s="179">
        <v>1.5</v>
      </c>
      <c r="AG123" s="43">
        <v>1.5</v>
      </c>
      <c r="AH123" s="43">
        <v>1.5</v>
      </c>
      <c r="AI123" s="143"/>
      <c r="AJ123" s="143"/>
      <c r="AK123" s="43">
        <v>1.5</v>
      </c>
      <c r="AL123" s="43">
        <v>1.5</v>
      </c>
      <c r="AM123" s="179">
        <v>1.5</v>
      </c>
      <c r="AN123" s="179"/>
      <c r="AO123" s="156"/>
      <c r="AP123" s="156"/>
      <c r="AQ123" s="157"/>
      <c r="AR123" s="157"/>
      <c r="AS123" s="156"/>
      <c r="AT123" s="156"/>
      <c r="AU123" s="156"/>
      <c r="AV123" s="156"/>
      <c r="AW123" s="156"/>
      <c r="AX123" s="156"/>
      <c r="AY123" s="156"/>
      <c r="AZ123" s="156"/>
      <c r="BA123" s="156"/>
      <c r="BB123" s="158"/>
      <c r="BC123" s="344"/>
      <c r="BD123" s="345"/>
    </row>
    <row r="124" spans="1:56" ht="15.75" thickBot="1">
      <c r="A124" s="369"/>
      <c r="B124" s="352"/>
      <c r="C124" s="137" t="s">
        <v>38</v>
      </c>
      <c r="D124" s="43">
        <f t="shared" si="7"/>
        <v>1</v>
      </c>
      <c r="E124" s="43">
        <v>0</v>
      </c>
      <c r="F124" s="43" t="s">
        <v>39</v>
      </c>
      <c r="G124" s="43">
        <v>3</v>
      </c>
      <c r="H124" s="43">
        <f t="shared" si="6"/>
        <v>0</v>
      </c>
      <c r="I124" s="41">
        <v>123</v>
      </c>
      <c r="J124" s="353"/>
      <c r="K124" s="241"/>
      <c r="L124" s="221"/>
      <c r="M124" s="221"/>
      <c r="N124" s="241"/>
      <c r="O124" s="241"/>
      <c r="P124" s="221"/>
      <c r="Q124" s="221"/>
      <c r="R124" s="242"/>
      <c r="S124" s="242"/>
      <c r="T124" s="221"/>
      <c r="U124" s="221"/>
      <c r="V124" s="241"/>
      <c r="W124" s="241"/>
      <c r="X124" s="221"/>
      <c r="Y124" s="221"/>
      <c r="Z124" s="221"/>
      <c r="AA124" s="243"/>
      <c r="AB124" s="243"/>
      <c r="AC124" s="221"/>
      <c r="AD124" s="221"/>
      <c r="AE124" s="241"/>
      <c r="AF124" s="241"/>
      <c r="AG124" s="221"/>
      <c r="AH124" s="221"/>
      <c r="AI124" s="243"/>
      <c r="AJ124" s="243"/>
      <c r="AK124" s="221"/>
      <c r="AL124" s="221"/>
      <c r="AM124" s="241"/>
      <c r="AN124" s="241">
        <v>3</v>
      </c>
      <c r="AO124" s="244"/>
      <c r="AP124" s="244"/>
      <c r="AQ124" s="250"/>
      <c r="AR124" s="250"/>
      <c r="AS124" s="244"/>
      <c r="AT124" s="244"/>
      <c r="AU124" s="244"/>
      <c r="AV124" s="244"/>
      <c r="AW124" s="244"/>
      <c r="AX124" s="244"/>
      <c r="AY124" s="244"/>
      <c r="AZ124" s="244"/>
      <c r="BA124" s="244"/>
      <c r="BB124" s="245"/>
      <c r="BC124" s="344"/>
      <c r="BD124" s="345"/>
    </row>
    <row r="125" spans="1:56">
      <c r="A125" s="369"/>
      <c r="B125" s="352"/>
      <c r="C125" s="352" t="s">
        <v>202</v>
      </c>
      <c r="D125" s="43">
        <f t="shared" si="7"/>
        <v>6</v>
      </c>
      <c r="E125" s="43">
        <v>1</v>
      </c>
      <c r="F125" s="43" t="s">
        <v>33</v>
      </c>
      <c r="G125" s="43">
        <v>9</v>
      </c>
      <c r="H125" s="43">
        <f t="shared" si="6"/>
        <v>0</v>
      </c>
      <c r="I125" s="42" t="s">
        <v>34</v>
      </c>
      <c r="J125" s="354" t="s">
        <v>37</v>
      </c>
      <c r="K125" s="238"/>
      <c r="L125" s="42"/>
      <c r="M125" s="42"/>
      <c r="N125" s="238"/>
      <c r="O125" s="238"/>
      <c r="P125" s="42"/>
      <c r="Q125" s="42"/>
      <c r="R125" s="239"/>
      <c r="S125" s="239"/>
      <c r="T125" s="42"/>
      <c r="U125" s="42"/>
      <c r="V125" s="238"/>
      <c r="W125" s="238"/>
      <c r="X125" s="42"/>
      <c r="Y125" s="42"/>
      <c r="Z125" s="42"/>
      <c r="AA125" s="240"/>
      <c r="AB125" s="240"/>
      <c r="AC125" s="42"/>
      <c r="AD125" s="42"/>
      <c r="AE125" s="238"/>
      <c r="AF125" s="238"/>
      <c r="AG125" s="42">
        <v>1.5</v>
      </c>
      <c r="AH125" s="42">
        <v>1.5</v>
      </c>
      <c r="AI125" s="240"/>
      <c r="AJ125" s="240"/>
      <c r="AK125" s="42">
        <v>1.5</v>
      </c>
      <c r="AL125" s="42">
        <v>1.5</v>
      </c>
      <c r="AM125" s="238"/>
      <c r="AN125" s="238"/>
      <c r="AO125" s="42">
        <v>1.5</v>
      </c>
      <c r="AP125" s="42">
        <v>1.5</v>
      </c>
      <c r="AQ125" s="240"/>
      <c r="AR125" s="240"/>
      <c r="AS125" s="42"/>
      <c r="AT125" s="42"/>
      <c r="AU125" s="238"/>
      <c r="AV125" s="238"/>
      <c r="AW125" s="238"/>
      <c r="AX125" s="238"/>
      <c r="AY125" s="238"/>
      <c r="AZ125" s="42"/>
      <c r="BA125" s="238"/>
      <c r="BB125" s="246"/>
      <c r="BC125" s="344"/>
      <c r="BD125" s="345"/>
    </row>
    <row r="126" spans="1:56">
      <c r="A126" s="369"/>
      <c r="B126" s="352"/>
      <c r="C126" s="352"/>
      <c r="D126" s="43">
        <f t="shared" si="7"/>
        <v>6</v>
      </c>
      <c r="E126" s="43">
        <v>1</v>
      </c>
      <c r="F126" s="43" t="s">
        <v>36</v>
      </c>
      <c r="G126" s="43">
        <v>9</v>
      </c>
      <c r="H126" s="43">
        <f t="shared" si="6"/>
        <v>0</v>
      </c>
      <c r="I126" s="43" t="s">
        <v>34</v>
      </c>
      <c r="J126" s="352"/>
      <c r="K126" s="179"/>
      <c r="L126" s="43"/>
      <c r="M126" s="43"/>
      <c r="N126" s="179"/>
      <c r="O126" s="179"/>
      <c r="P126" s="43"/>
      <c r="Q126" s="43"/>
      <c r="R126" s="137"/>
      <c r="S126" s="137"/>
      <c r="T126" s="43"/>
      <c r="U126" s="43"/>
      <c r="V126" s="179"/>
      <c r="W126" s="179"/>
      <c r="X126" s="43"/>
      <c r="Y126" s="43"/>
      <c r="Z126" s="43"/>
      <c r="AA126" s="143"/>
      <c r="AB126" s="143"/>
      <c r="AC126" s="43"/>
      <c r="AD126" s="43"/>
      <c r="AE126" s="179"/>
      <c r="AF126" s="179"/>
      <c r="AG126" s="43">
        <v>1.5</v>
      </c>
      <c r="AH126" s="43">
        <v>1.5</v>
      </c>
      <c r="AI126" s="143"/>
      <c r="AJ126" s="143"/>
      <c r="AK126" s="43">
        <v>1.5</v>
      </c>
      <c r="AL126" s="43">
        <v>1.5</v>
      </c>
      <c r="AM126" s="179"/>
      <c r="AN126" s="179"/>
      <c r="AO126" s="43">
        <v>1.5</v>
      </c>
      <c r="AP126" s="43">
        <v>1.5</v>
      </c>
      <c r="AQ126" s="143"/>
      <c r="AR126" s="143"/>
      <c r="AS126" s="43"/>
      <c r="AT126" s="43"/>
      <c r="AU126" s="179"/>
      <c r="AV126" s="179"/>
      <c r="AW126" s="179"/>
      <c r="AX126" s="179"/>
      <c r="AY126" s="179"/>
      <c r="AZ126" s="43"/>
      <c r="BA126" s="179"/>
      <c r="BB126" s="247"/>
      <c r="BC126" s="344"/>
      <c r="BD126" s="345"/>
    </row>
    <row r="127" spans="1:56" ht="15.75" thickBot="1">
      <c r="A127" s="370"/>
      <c r="B127" s="355"/>
      <c r="C127" s="138" t="s">
        <v>38</v>
      </c>
      <c r="D127" s="46">
        <f t="shared" si="7"/>
        <v>1</v>
      </c>
      <c r="E127" s="46">
        <v>1</v>
      </c>
      <c r="F127" s="46" t="s">
        <v>39</v>
      </c>
      <c r="G127" s="46">
        <v>3</v>
      </c>
      <c r="H127" s="46">
        <f t="shared" si="6"/>
        <v>0</v>
      </c>
      <c r="I127" s="46">
        <v>123</v>
      </c>
      <c r="J127" s="355"/>
      <c r="K127" s="180"/>
      <c r="L127" s="46"/>
      <c r="M127" s="46"/>
      <c r="N127" s="180"/>
      <c r="O127" s="180"/>
      <c r="P127" s="46"/>
      <c r="Q127" s="46"/>
      <c r="R127" s="138"/>
      <c r="S127" s="138"/>
      <c r="T127" s="46"/>
      <c r="U127" s="46"/>
      <c r="V127" s="180"/>
      <c r="W127" s="180"/>
      <c r="X127" s="46"/>
      <c r="Y127" s="46"/>
      <c r="Z127" s="46"/>
      <c r="AA127" s="144"/>
      <c r="AB127" s="144"/>
      <c r="AC127" s="46"/>
      <c r="AD127" s="46"/>
      <c r="AE127" s="180"/>
      <c r="AF127" s="180"/>
      <c r="AG127" s="46"/>
      <c r="AH127" s="46"/>
      <c r="AI127" s="144"/>
      <c r="AJ127" s="144"/>
      <c r="AK127" s="46"/>
      <c r="AL127" s="46"/>
      <c r="AM127" s="180"/>
      <c r="AN127" s="180"/>
      <c r="AO127" s="46"/>
      <c r="AP127" s="46">
        <v>3</v>
      </c>
      <c r="AQ127" s="144"/>
      <c r="AR127" s="144"/>
      <c r="AS127" s="46"/>
      <c r="AT127" s="46"/>
      <c r="AU127" s="180"/>
      <c r="AV127" s="180"/>
      <c r="AW127" s="180"/>
      <c r="AX127" s="180"/>
      <c r="AY127" s="180"/>
      <c r="AZ127" s="46"/>
      <c r="BA127" s="180"/>
      <c r="BB127" s="248"/>
      <c r="BC127" s="323"/>
      <c r="BD127" s="324"/>
    </row>
    <row r="128" spans="1:56" ht="15.75" thickTop="1">
      <c r="A128" s="365" t="s">
        <v>203</v>
      </c>
      <c r="B128" s="363" t="s">
        <v>204</v>
      </c>
      <c r="C128" s="363" t="s">
        <v>57</v>
      </c>
      <c r="D128" s="45">
        <f t="shared" si="7"/>
        <v>4</v>
      </c>
      <c r="E128" s="45">
        <v>0</v>
      </c>
      <c r="F128" s="45" t="s">
        <v>33</v>
      </c>
      <c r="G128" s="45">
        <v>6</v>
      </c>
      <c r="H128" s="45">
        <f t="shared" ref="H128:H137" si="8">G128-SUM(K128:BA128)</f>
        <v>0</v>
      </c>
      <c r="I128" s="45" t="s">
        <v>34</v>
      </c>
      <c r="J128" s="351" t="s">
        <v>35</v>
      </c>
      <c r="K128" s="178"/>
      <c r="L128" s="45"/>
      <c r="M128" s="45"/>
      <c r="N128" s="178"/>
      <c r="O128" s="178"/>
      <c r="P128" s="45"/>
      <c r="Q128" s="45"/>
      <c r="R128" s="136"/>
      <c r="S128" s="136"/>
      <c r="T128" s="45"/>
      <c r="U128" s="45"/>
      <c r="V128" s="178"/>
      <c r="W128" s="178"/>
      <c r="X128" s="45"/>
      <c r="Y128" s="45"/>
      <c r="Z128" s="45"/>
      <c r="AA128" s="142"/>
      <c r="AB128" s="142"/>
      <c r="AC128" s="45"/>
      <c r="AD128" s="45"/>
      <c r="AE128" s="178"/>
      <c r="AF128" s="178">
        <v>1.5</v>
      </c>
      <c r="AG128" s="45">
        <v>1.5</v>
      </c>
      <c r="AH128" s="45">
        <v>1.5</v>
      </c>
      <c r="AI128" s="142"/>
      <c r="AJ128" s="142"/>
      <c r="AK128" s="45">
        <v>1.5</v>
      </c>
      <c r="AL128" s="45"/>
      <c r="AM128" s="178"/>
      <c r="AN128" s="178"/>
      <c r="AO128" s="153"/>
      <c r="AP128" s="153"/>
      <c r="AQ128" s="154"/>
      <c r="AR128" s="154"/>
      <c r="AS128" s="153"/>
      <c r="AT128" s="153"/>
      <c r="AU128" s="153"/>
      <c r="AV128" s="153"/>
      <c r="AW128" s="153"/>
      <c r="AX128" s="153"/>
      <c r="AY128" s="153"/>
      <c r="AZ128" s="153"/>
      <c r="BA128" s="153"/>
      <c r="BB128" s="155"/>
      <c r="BC128" s="321"/>
      <c r="BD128" s="322"/>
    </row>
    <row r="129" spans="1:56">
      <c r="A129" s="366"/>
      <c r="B129" s="349"/>
      <c r="C129" s="349"/>
      <c r="D129" s="43">
        <f t="shared" si="7"/>
        <v>4</v>
      </c>
      <c r="E129" s="43">
        <v>0</v>
      </c>
      <c r="F129" s="43" t="s">
        <v>36</v>
      </c>
      <c r="G129" s="43">
        <v>6</v>
      </c>
      <c r="H129" s="43">
        <f t="shared" si="8"/>
        <v>0</v>
      </c>
      <c r="I129" s="43" t="s">
        <v>34</v>
      </c>
      <c r="J129" s="352"/>
      <c r="K129" s="179"/>
      <c r="L129" s="43"/>
      <c r="M129" s="43"/>
      <c r="N129" s="179"/>
      <c r="O129" s="179"/>
      <c r="P129" s="43"/>
      <c r="Q129" s="43"/>
      <c r="R129" s="137"/>
      <c r="S129" s="137"/>
      <c r="T129" s="43"/>
      <c r="U129" s="43"/>
      <c r="V129" s="179"/>
      <c r="W129" s="179"/>
      <c r="X129" s="43"/>
      <c r="Y129" s="43"/>
      <c r="Z129" s="43"/>
      <c r="AA129" s="143"/>
      <c r="AB129" s="143"/>
      <c r="AC129" s="43"/>
      <c r="AD129" s="43"/>
      <c r="AE129" s="179"/>
      <c r="AF129" s="179">
        <v>1.5</v>
      </c>
      <c r="AG129" s="43">
        <v>1.5</v>
      </c>
      <c r="AH129" s="43">
        <v>1.5</v>
      </c>
      <c r="AI129" s="143"/>
      <c r="AJ129" s="143"/>
      <c r="AK129" s="43">
        <v>1.5</v>
      </c>
      <c r="AL129" s="43"/>
      <c r="AM129" s="179"/>
      <c r="AN129" s="179"/>
      <c r="AO129" s="156"/>
      <c r="AP129" s="156"/>
      <c r="AQ129" s="157"/>
      <c r="AR129" s="157"/>
      <c r="AS129" s="156"/>
      <c r="AT129" s="156"/>
      <c r="AU129" s="156"/>
      <c r="AV129" s="156"/>
      <c r="AW129" s="156"/>
      <c r="AX129" s="156"/>
      <c r="AY129" s="156"/>
      <c r="AZ129" s="156"/>
      <c r="BA129" s="156"/>
      <c r="BB129" s="158"/>
      <c r="BC129" s="344"/>
      <c r="BD129" s="345"/>
    </row>
    <row r="130" spans="1:56">
      <c r="A130" s="366"/>
      <c r="B130" s="349"/>
      <c r="C130" s="349"/>
      <c r="D130" s="43">
        <f t="shared" si="7"/>
        <v>3</v>
      </c>
      <c r="E130" s="43">
        <v>0</v>
      </c>
      <c r="F130" s="43" t="s">
        <v>39</v>
      </c>
      <c r="G130" s="43">
        <v>6</v>
      </c>
      <c r="H130" s="43">
        <f t="shared" si="8"/>
        <v>0</v>
      </c>
      <c r="I130" s="43">
        <v>129</v>
      </c>
      <c r="J130" s="352"/>
      <c r="K130" s="179"/>
      <c r="L130" s="43"/>
      <c r="M130" s="43"/>
      <c r="N130" s="179"/>
      <c r="O130" s="179"/>
      <c r="P130" s="43"/>
      <c r="Q130" s="43"/>
      <c r="R130" s="137"/>
      <c r="S130" s="137"/>
      <c r="T130" s="43"/>
      <c r="U130" s="43"/>
      <c r="V130" s="179"/>
      <c r="W130" s="179"/>
      <c r="X130" s="43"/>
      <c r="Y130" s="43"/>
      <c r="Z130" s="43"/>
      <c r="AA130" s="143"/>
      <c r="AB130" s="143"/>
      <c r="AC130" s="43"/>
      <c r="AD130" s="43"/>
      <c r="AE130" s="179"/>
      <c r="AF130" s="179"/>
      <c r="AG130" s="43"/>
      <c r="AH130" s="43"/>
      <c r="AI130" s="143"/>
      <c r="AJ130" s="143"/>
      <c r="AK130" s="43"/>
      <c r="AL130" s="43">
        <v>2</v>
      </c>
      <c r="AM130" s="179">
        <v>2</v>
      </c>
      <c r="AN130" s="179">
        <v>2</v>
      </c>
      <c r="AO130" s="156"/>
      <c r="AP130" s="156"/>
      <c r="AQ130" s="157"/>
      <c r="AR130" s="157"/>
      <c r="AS130" s="156"/>
      <c r="AT130" s="156"/>
      <c r="AU130" s="156"/>
      <c r="AV130" s="156"/>
      <c r="AW130" s="156"/>
      <c r="AX130" s="156"/>
      <c r="AY130" s="156"/>
      <c r="AZ130" s="156"/>
      <c r="BA130" s="156"/>
      <c r="BB130" s="158"/>
      <c r="BC130" s="344"/>
      <c r="BD130" s="345"/>
    </row>
    <row r="131" spans="1:56">
      <c r="A131" s="366"/>
      <c r="B131" s="349"/>
      <c r="C131" s="349" t="s">
        <v>51</v>
      </c>
      <c r="D131" s="43">
        <f t="shared" si="7"/>
        <v>2</v>
      </c>
      <c r="E131" s="43">
        <v>0</v>
      </c>
      <c r="F131" s="43" t="s">
        <v>33</v>
      </c>
      <c r="G131" s="43">
        <v>4.5</v>
      </c>
      <c r="H131" s="43">
        <f t="shared" si="8"/>
        <v>0</v>
      </c>
      <c r="I131" s="43" t="s">
        <v>34</v>
      </c>
      <c r="J131" s="352"/>
      <c r="K131" s="179"/>
      <c r="L131" s="43"/>
      <c r="M131" s="43"/>
      <c r="N131" s="179"/>
      <c r="O131" s="179"/>
      <c r="P131" s="43"/>
      <c r="Q131" s="43"/>
      <c r="R131" s="137"/>
      <c r="S131" s="137"/>
      <c r="T131" s="43"/>
      <c r="U131" s="43"/>
      <c r="V131" s="179"/>
      <c r="W131" s="179"/>
      <c r="X131" s="43"/>
      <c r="Y131" s="43"/>
      <c r="Z131" s="43"/>
      <c r="AA131" s="143"/>
      <c r="AB131" s="143"/>
      <c r="AC131" s="43"/>
      <c r="AD131" s="43"/>
      <c r="AE131" s="179">
        <v>3</v>
      </c>
      <c r="AF131" s="179">
        <v>1.5</v>
      </c>
      <c r="AG131" s="43"/>
      <c r="AH131" s="43"/>
      <c r="AI131" s="143"/>
      <c r="AJ131" s="143"/>
      <c r="AK131" s="43"/>
      <c r="AL131" s="43"/>
      <c r="AM131" s="179"/>
      <c r="AN131" s="179"/>
      <c r="AO131" s="157"/>
      <c r="AP131" s="157"/>
      <c r="AQ131" s="157"/>
      <c r="AR131" s="157"/>
      <c r="AS131" s="157"/>
      <c r="AT131" s="157"/>
      <c r="AU131" s="157"/>
      <c r="AV131" s="157"/>
      <c r="AW131" s="157"/>
      <c r="AX131" s="157"/>
      <c r="AY131" s="157"/>
      <c r="AZ131" s="157"/>
      <c r="BA131" s="157"/>
      <c r="BB131" s="252"/>
      <c r="BC131" s="344"/>
      <c r="BD131" s="345"/>
    </row>
    <row r="132" spans="1:56" ht="15.75" thickBot="1">
      <c r="A132" s="366"/>
      <c r="B132" s="349"/>
      <c r="C132" s="349"/>
      <c r="D132" s="43">
        <f t="shared" si="7"/>
        <v>2</v>
      </c>
      <c r="E132" s="43">
        <v>0</v>
      </c>
      <c r="F132" s="43" t="s">
        <v>36</v>
      </c>
      <c r="G132" s="43">
        <v>4.5</v>
      </c>
      <c r="H132" s="43">
        <f t="shared" si="8"/>
        <v>0</v>
      </c>
      <c r="I132" s="43" t="s">
        <v>34</v>
      </c>
      <c r="J132" s="353"/>
      <c r="K132" s="241"/>
      <c r="L132" s="221"/>
      <c r="M132" s="221"/>
      <c r="N132" s="241"/>
      <c r="O132" s="241"/>
      <c r="P132" s="221"/>
      <c r="Q132" s="221"/>
      <c r="R132" s="242"/>
      <c r="S132" s="242"/>
      <c r="T132" s="221"/>
      <c r="U132" s="221"/>
      <c r="V132" s="241"/>
      <c r="W132" s="241"/>
      <c r="X132" s="221"/>
      <c r="Y132" s="221"/>
      <c r="Z132" s="221"/>
      <c r="AA132" s="243"/>
      <c r="AB132" s="243"/>
      <c r="AC132" s="221"/>
      <c r="AD132" s="221"/>
      <c r="AE132" s="241">
        <v>3</v>
      </c>
      <c r="AF132" s="241">
        <v>1.5</v>
      </c>
      <c r="AG132" s="221"/>
      <c r="AH132" s="221"/>
      <c r="AI132" s="243"/>
      <c r="AJ132" s="243"/>
      <c r="AK132" s="221"/>
      <c r="AL132" s="221"/>
      <c r="AM132" s="241"/>
      <c r="AN132" s="241"/>
      <c r="AO132" s="250"/>
      <c r="AP132" s="250"/>
      <c r="AQ132" s="250"/>
      <c r="AR132" s="250"/>
      <c r="AS132" s="250"/>
      <c r="AT132" s="250"/>
      <c r="AU132" s="250"/>
      <c r="AV132" s="250"/>
      <c r="AW132" s="250"/>
      <c r="AX132" s="250"/>
      <c r="AY132" s="250"/>
      <c r="AZ132" s="250"/>
      <c r="BA132" s="250"/>
      <c r="BB132" s="253"/>
      <c r="BC132" s="346"/>
      <c r="BD132" s="347"/>
    </row>
    <row r="133" spans="1:56">
      <c r="A133" s="366"/>
      <c r="B133" s="349"/>
      <c r="C133" s="349" t="s">
        <v>57</v>
      </c>
      <c r="D133" s="43">
        <f t="shared" si="7"/>
        <v>4</v>
      </c>
      <c r="E133" s="43">
        <v>1</v>
      </c>
      <c r="F133" s="43" t="s">
        <v>33</v>
      </c>
      <c r="G133" s="43">
        <v>6</v>
      </c>
      <c r="H133" s="43">
        <f t="shared" si="8"/>
        <v>0</v>
      </c>
      <c r="I133" s="44" t="s">
        <v>34</v>
      </c>
      <c r="J133" s="349" t="s">
        <v>37</v>
      </c>
      <c r="K133" s="238"/>
      <c r="L133" s="42"/>
      <c r="M133" s="42"/>
      <c r="N133" s="238"/>
      <c r="O133" s="238"/>
      <c r="P133" s="42"/>
      <c r="Q133" s="42"/>
      <c r="R133" s="239"/>
      <c r="S133" s="239"/>
      <c r="T133" s="42"/>
      <c r="U133" s="42"/>
      <c r="V133" s="238"/>
      <c r="W133" s="238"/>
      <c r="X133" s="42"/>
      <c r="Y133" s="42"/>
      <c r="Z133" s="42"/>
      <c r="AA133" s="240"/>
      <c r="AB133" s="240"/>
      <c r="AC133" s="42"/>
      <c r="AD133" s="42"/>
      <c r="AE133" s="238"/>
      <c r="AF133" s="238"/>
      <c r="AG133" s="42">
        <v>1.5</v>
      </c>
      <c r="AH133" s="42">
        <v>1.5</v>
      </c>
      <c r="AI133" s="240"/>
      <c r="AJ133" s="240"/>
      <c r="AK133" s="42">
        <v>1.5</v>
      </c>
      <c r="AL133" s="42">
        <v>1.5</v>
      </c>
      <c r="AM133" s="238"/>
      <c r="AN133" s="238"/>
      <c r="AO133" s="42"/>
      <c r="AP133" s="42"/>
      <c r="AQ133" s="240"/>
      <c r="AR133" s="240"/>
      <c r="AS133" s="42"/>
      <c r="AT133" s="42"/>
      <c r="AU133" s="238"/>
      <c r="AV133" s="238"/>
      <c r="AW133" s="238"/>
      <c r="AX133" s="238"/>
      <c r="AY133" s="238"/>
      <c r="AZ133" s="42"/>
      <c r="BA133" s="238"/>
      <c r="BB133" s="246"/>
      <c r="BC133" s="356"/>
      <c r="BD133" s="357"/>
    </row>
    <row r="134" spans="1:56">
      <c r="A134" s="366"/>
      <c r="B134" s="349"/>
      <c r="C134" s="349"/>
      <c r="D134" s="43">
        <f t="shared" si="7"/>
        <v>4</v>
      </c>
      <c r="E134" s="43">
        <v>1</v>
      </c>
      <c r="F134" s="43" t="s">
        <v>36</v>
      </c>
      <c r="G134" s="43">
        <v>6</v>
      </c>
      <c r="H134" s="43">
        <f t="shared" si="8"/>
        <v>0</v>
      </c>
      <c r="I134" s="44" t="s">
        <v>34</v>
      </c>
      <c r="J134" s="349"/>
      <c r="K134" s="179"/>
      <c r="L134" s="43"/>
      <c r="M134" s="43"/>
      <c r="N134" s="179"/>
      <c r="O134" s="179"/>
      <c r="P134" s="43"/>
      <c r="Q134" s="43"/>
      <c r="R134" s="137"/>
      <c r="S134" s="137"/>
      <c r="T134" s="43"/>
      <c r="U134" s="43"/>
      <c r="V134" s="179"/>
      <c r="W134" s="179"/>
      <c r="X134" s="43"/>
      <c r="Y134" s="43"/>
      <c r="Z134" s="43"/>
      <c r="AA134" s="143"/>
      <c r="AB134" s="143"/>
      <c r="AC134" s="43"/>
      <c r="AD134" s="43"/>
      <c r="AE134" s="179"/>
      <c r="AF134" s="179"/>
      <c r="AG134" s="43">
        <v>1.5</v>
      </c>
      <c r="AH134" s="43">
        <v>1.5</v>
      </c>
      <c r="AI134" s="143"/>
      <c r="AJ134" s="143"/>
      <c r="AK134" s="43">
        <v>1.5</v>
      </c>
      <c r="AL134" s="43">
        <v>1.5</v>
      </c>
      <c r="AM134" s="179"/>
      <c r="AN134" s="179"/>
      <c r="AO134" s="42"/>
      <c r="AP134" s="42"/>
      <c r="AQ134" s="240"/>
      <c r="AR134" s="240"/>
      <c r="AS134" s="42"/>
      <c r="AT134" s="42"/>
      <c r="AU134" s="238"/>
      <c r="AV134" s="238"/>
      <c r="AW134" s="238"/>
      <c r="AX134" s="238"/>
      <c r="AY134" s="238"/>
      <c r="AZ134" s="42"/>
      <c r="BA134" s="238"/>
      <c r="BB134" s="246"/>
      <c r="BC134" s="344"/>
      <c r="BD134" s="345"/>
    </row>
    <row r="135" spans="1:56">
      <c r="A135" s="366"/>
      <c r="B135" s="349"/>
      <c r="C135" s="349"/>
      <c r="D135" s="43">
        <f t="shared" si="7"/>
        <v>3</v>
      </c>
      <c r="E135" s="43">
        <v>1</v>
      </c>
      <c r="F135" s="43" t="s">
        <v>39</v>
      </c>
      <c r="G135" s="43">
        <v>6</v>
      </c>
      <c r="H135" s="43">
        <f t="shared" si="8"/>
        <v>0</v>
      </c>
      <c r="I135" s="44">
        <v>129</v>
      </c>
      <c r="J135" s="349"/>
      <c r="K135" s="179"/>
      <c r="L135" s="43"/>
      <c r="M135" s="43"/>
      <c r="N135" s="179"/>
      <c r="O135" s="179"/>
      <c r="P135" s="43"/>
      <c r="Q135" s="43"/>
      <c r="R135" s="137"/>
      <c r="S135" s="137"/>
      <c r="T135" s="43"/>
      <c r="U135" s="43"/>
      <c r="V135" s="179"/>
      <c r="W135" s="179"/>
      <c r="X135" s="43"/>
      <c r="Y135" s="43"/>
      <c r="Z135" s="43"/>
      <c r="AA135" s="143"/>
      <c r="AB135" s="143"/>
      <c r="AC135" s="43"/>
      <c r="AD135" s="43"/>
      <c r="AE135" s="179"/>
      <c r="AF135" s="179"/>
      <c r="AG135" s="43"/>
      <c r="AH135" s="43"/>
      <c r="AI135" s="143"/>
      <c r="AJ135" s="143"/>
      <c r="AK135" s="43"/>
      <c r="AL135" s="43">
        <v>2</v>
      </c>
      <c r="AM135" s="179"/>
      <c r="AN135" s="179"/>
      <c r="AO135" s="42">
        <v>2</v>
      </c>
      <c r="AP135" s="42">
        <v>2</v>
      </c>
      <c r="AQ135" s="240"/>
      <c r="AR135" s="240"/>
      <c r="AS135" s="42"/>
      <c r="AT135" s="42"/>
      <c r="AU135" s="238"/>
      <c r="AV135" s="238"/>
      <c r="AW135" s="238"/>
      <c r="AX135" s="238"/>
      <c r="AY135" s="238"/>
      <c r="AZ135" s="42"/>
      <c r="BA135" s="238"/>
      <c r="BB135" s="246"/>
      <c r="BC135" s="344"/>
      <c r="BD135" s="345"/>
    </row>
    <row r="136" spans="1:56">
      <c r="A136" s="366"/>
      <c r="B136" s="349"/>
      <c r="C136" s="349" t="s">
        <v>51</v>
      </c>
      <c r="D136" s="43">
        <f t="shared" si="7"/>
        <v>3</v>
      </c>
      <c r="E136" s="43">
        <v>1</v>
      </c>
      <c r="F136" s="43" t="s">
        <v>33</v>
      </c>
      <c r="G136" s="43">
        <v>4.5</v>
      </c>
      <c r="H136" s="43">
        <f t="shared" si="8"/>
        <v>0</v>
      </c>
      <c r="I136" s="44" t="s">
        <v>34</v>
      </c>
      <c r="J136" s="349"/>
      <c r="K136" s="179"/>
      <c r="L136" s="43"/>
      <c r="M136" s="43"/>
      <c r="N136" s="179"/>
      <c r="O136" s="179"/>
      <c r="P136" s="43"/>
      <c r="Q136" s="43"/>
      <c r="R136" s="137"/>
      <c r="S136" s="137"/>
      <c r="T136" s="43"/>
      <c r="U136" s="43"/>
      <c r="V136" s="179"/>
      <c r="W136" s="179"/>
      <c r="X136" s="43"/>
      <c r="Y136" s="43"/>
      <c r="Z136" s="43"/>
      <c r="AA136" s="143"/>
      <c r="AB136" s="143"/>
      <c r="AC136" s="43"/>
      <c r="AD136" s="43"/>
      <c r="AE136" s="179"/>
      <c r="AF136" s="179"/>
      <c r="AG136" s="43"/>
      <c r="AH136" s="43"/>
      <c r="AI136" s="143"/>
      <c r="AJ136" s="143"/>
      <c r="AK136" s="43">
        <v>1.5</v>
      </c>
      <c r="AL136" s="43">
        <v>1.5</v>
      </c>
      <c r="AM136" s="179"/>
      <c r="AN136" s="179"/>
      <c r="AO136" s="43">
        <v>1.5</v>
      </c>
      <c r="AP136" s="43"/>
      <c r="AQ136" s="143"/>
      <c r="AR136" s="143"/>
      <c r="AS136" s="43"/>
      <c r="AT136" s="43"/>
      <c r="AU136" s="179"/>
      <c r="AV136" s="179"/>
      <c r="AW136" s="179"/>
      <c r="AX136" s="179"/>
      <c r="AY136" s="179"/>
      <c r="AZ136" s="43"/>
      <c r="BA136" s="179"/>
      <c r="BB136" s="247"/>
      <c r="BC136" s="344"/>
      <c r="BD136" s="345"/>
    </row>
    <row r="137" spans="1:56" ht="15.75" thickBot="1">
      <c r="A137" s="367"/>
      <c r="B137" s="350"/>
      <c r="C137" s="350"/>
      <c r="D137" s="46">
        <f t="shared" si="7"/>
        <v>3</v>
      </c>
      <c r="E137" s="46">
        <v>1</v>
      </c>
      <c r="F137" s="46" t="s">
        <v>36</v>
      </c>
      <c r="G137" s="46">
        <v>4.5</v>
      </c>
      <c r="H137" s="46">
        <f t="shared" si="8"/>
        <v>0</v>
      </c>
      <c r="I137" s="48" t="s">
        <v>34</v>
      </c>
      <c r="J137" s="350"/>
      <c r="K137" s="180"/>
      <c r="L137" s="46"/>
      <c r="M137" s="46"/>
      <c r="N137" s="180"/>
      <c r="O137" s="180"/>
      <c r="P137" s="46"/>
      <c r="Q137" s="46"/>
      <c r="R137" s="138"/>
      <c r="S137" s="138"/>
      <c r="T137" s="46"/>
      <c r="U137" s="46"/>
      <c r="V137" s="180"/>
      <c r="W137" s="180"/>
      <c r="X137" s="46"/>
      <c r="Y137" s="46"/>
      <c r="Z137" s="46"/>
      <c r="AA137" s="144"/>
      <c r="AB137" s="144"/>
      <c r="AC137" s="46"/>
      <c r="AD137" s="46"/>
      <c r="AE137" s="180"/>
      <c r="AF137" s="180"/>
      <c r="AG137" s="46"/>
      <c r="AH137" s="46"/>
      <c r="AI137" s="144"/>
      <c r="AJ137" s="144"/>
      <c r="AK137" s="46">
        <v>1.5</v>
      </c>
      <c r="AL137" s="46">
        <v>1.5</v>
      </c>
      <c r="AM137" s="180"/>
      <c r="AN137" s="180"/>
      <c r="AO137" s="46">
        <v>1.5</v>
      </c>
      <c r="AP137" s="46"/>
      <c r="AQ137" s="144"/>
      <c r="AR137" s="144"/>
      <c r="AS137" s="46"/>
      <c r="AT137" s="46"/>
      <c r="AU137" s="180"/>
      <c r="AV137" s="180"/>
      <c r="AW137" s="180"/>
      <c r="AX137" s="180"/>
      <c r="AY137" s="180"/>
      <c r="AZ137" s="46"/>
      <c r="BA137" s="180"/>
      <c r="BB137" s="248"/>
      <c r="BC137" s="323"/>
      <c r="BD137" s="324"/>
    </row>
    <row r="138" spans="1:56" ht="15.75" thickTop="1">
      <c r="A138" s="368" t="s">
        <v>205</v>
      </c>
      <c r="B138" s="351" t="s">
        <v>206</v>
      </c>
      <c r="C138" s="363" t="s">
        <v>207</v>
      </c>
      <c r="D138" s="45">
        <f t="shared" si="7"/>
        <v>6</v>
      </c>
      <c r="E138" s="45">
        <v>0</v>
      </c>
      <c r="F138" s="45" t="s">
        <v>33</v>
      </c>
      <c r="G138" s="45">
        <v>15</v>
      </c>
      <c r="H138" s="45">
        <f t="shared" si="6"/>
        <v>0</v>
      </c>
      <c r="I138" s="45" t="s">
        <v>34</v>
      </c>
      <c r="J138" s="351" t="s">
        <v>35</v>
      </c>
      <c r="K138" s="178"/>
      <c r="L138" s="45"/>
      <c r="M138" s="45"/>
      <c r="N138" s="178"/>
      <c r="O138" s="178"/>
      <c r="P138" s="45"/>
      <c r="Q138" s="45"/>
      <c r="R138" s="136"/>
      <c r="S138" s="136"/>
      <c r="T138" s="45"/>
      <c r="U138" s="45"/>
      <c r="V138" s="178"/>
      <c r="W138" s="178"/>
      <c r="X138" s="45"/>
      <c r="Y138" s="45"/>
      <c r="Z138" s="45"/>
      <c r="AA138" s="142"/>
      <c r="AB138" s="142"/>
      <c r="AC138" s="45">
        <v>1.5</v>
      </c>
      <c r="AD138" s="45">
        <v>1.5</v>
      </c>
      <c r="AE138" s="178">
        <v>3</v>
      </c>
      <c r="AF138" s="178">
        <v>3</v>
      </c>
      <c r="AG138" s="45">
        <v>3</v>
      </c>
      <c r="AH138" s="45">
        <v>3</v>
      </c>
      <c r="AI138" s="142"/>
      <c r="AJ138" s="142"/>
      <c r="AK138" s="45"/>
      <c r="AL138" s="45"/>
      <c r="AM138" s="178"/>
      <c r="AN138" s="178"/>
      <c r="AO138" s="153"/>
      <c r="AP138" s="153"/>
      <c r="AQ138" s="154"/>
      <c r="AR138" s="154"/>
      <c r="AS138" s="153"/>
      <c r="AT138" s="153"/>
      <c r="AU138" s="153"/>
      <c r="AV138" s="153"/>
      <c r="AW138" s="153"/>
      <c r="AX138" s="153"/>
      <c r="AY138" s="153"/>
      <c r="AZ138" s="153"/>
      <c r="BA138" s="153"/>
      <c r="BB138" s="155"/>
      <c r="BC138" s="321" t="s">
        <v>208</v>
      </c>
      <c r="BD138" s="322"/>
    </row>
    <row r="139" spans="1:56">
      <c r="A139" s="369"/>
      <c r="B139" s="352"/>
      <c r="C139" s="349"/>
      <c r="D139" s="43">
        <f t="shared" si="7"/>
        <v>6</v>
      </c>
      <c r="E139" s="43">
        <v>0</v>
      </c>
      <c r="F139" s="43" t="s">
        <v>36</v>
      </c>
      <c r="G139" s="43">
        <v>15</v>
      </c>
      <c r="H139" s="43">
        <f t="shared" si="6"/>
        <v>3</v>
      </c>
      <c r="I139" s="43" t="s">
        <v>34</v>
      </c>
      <c r="J139" s="352"/>
      <c r="K139" s="179"/>
      <c r="L139" s="43"/>
      <c r="M139" s="43"/>
      <c r="N139" s="179"/>
      <c r="O139" s="179"/>
      <c r="P139" s="43"/>
      <c r="Q139" s="43"/>
      <c r="R139" s="137"/>
      <c r="S139" s="137"/>
      <c r="T139" s="43"/>
      <c r="U139" s="43"/>
      <c r="V139" s="179"/>
      <c r="W139" s="179"/>
      <c r="X139" s="43"/>
      <c r="Y139" s="43"/>
      <c r="Z139" s="43"/>
      <c r="AA139" s="143"/>
      <c r="AB139" s="143"/>
      <c r="AC139" s="43">
        <v>1.5</v>
      </c>
      <c r="AD139" s="43">
        <v>1.5</v>
      </c>
      <c r="AE139" s="179">
        <v>3</v>
      </c>
      <c r="AF139" s="179">
        <v>3</v>
      </c>
      <c r="AG139" s="43">
        <v>1.5</v>
      </c>
      <c r="AH139" s="43">
        <v>1.5</v>
      </c>
      <c r="AI139" s="143"/>
      <c r="AJ139" s="143"/>
      <c r="AK139" s="43"/>
      <c r="AL139" s="43"/>
      <c r="AM139" s="179"/>
      <c r="AN139" s="179"/>
      <c r="AO139" s="156"/>
      <c r="AP139" s="156"/>
      <c r="AQ139" s="157"/>
      <c r="AR139" s="157"/>
      <c r="AS139" s="156"/>
      <c r="AT139" s="156"/>
      <c r="AU139" s="156"/>
      <c r="AV139" s="156"/>
      <c r="AW139" s="156"/>
      <c r="AX139" s="156"/>
      <c r="AY139" s="156"/>
      <c r="AZ139" s="156"/>
      <c r="BA139" s="156"/>
      <c r="BB139" s="158"/>
      <c r="BC139" s="344"/>
      <c r="BD139" s="345"/>
    </row>
    <row r="140" spans="1:56" ht="15.75" thickBot="1">
      <c r="A140" s="369"/>
      <c r="B140" s="352"/>
      <c r="C140" s="349"/>
      <c r="D140" s="43">
        <f t="shared" si="7"/>
        <v>4</v>
      </c>
      <c r="E140" s="43">
        <v>0</v>
      </c>
      <c r="F140" s="43" t="s">
        <v>39</v>
      </c>
      <c r="G140" s="43">
        <v>12</v>
      </c>
      <c r="H140" s="43">
        <f t="shared" si="6"/>
        <v>-3</v>
      </c>
      <c r="I140" s="43">
        <v>127</v>
      </c>
      <c r="J140" s="353"/>
      <c r="K140" s="241"/>
      <c r="L140" s="221"/>
      <c r="M140" s="221"/>
      <c r="N140" s="241"/>
      <c r="O140" s="241"/>
      <c r="P140" s="221"/>
      <c r="Q140" s="221"/>
      <c r="R140" s="242"/>
      <c r="S140" s="242"/>
      <c r="T140" s="221"/>
      <c r="U140" s="221"/>
      <c r="V140" s="241"/>
      <c r="W140" s="241"/>
      <c r="X140" s="221"/>
      <c r="Y140" s="221"/>
      <c r="Z140" s="221"/>
      <c r="AA140" s="243"/>
      <c r="AB140" s="243"/>
      <c r="AC140" s="221"/>
      <c r="AD140" s="221"/>
      <c r="AE140" s="241"/>
      <c r="AF140" s="241"/>
      <c r="AG140" s="221"/>
      <c r="AH140" s="221"/>
      <c r="AI140" s="243"/>
      <c r="AJ140" s="243"/>
      <c r="AK140" s="221">
        <v>6</v>
      </c>
      <c r="AL140" s="221">
        <v>3</v>
      </c>
      <c r="AM140" s="241">
        <v>3</v>
      </c>
      <c r="AN140" s="241">
        <v>3</v>
      </c>
      <c r="AO140" s="244"/>
      <c r="AP140" s="244"/>
      <c r="AQ140" s="250"/>
      <c r="AR140" s="250"/>
      <c r="AS140" s="244"/>
      <c r="AT140" s="244"/>
      <c r="AU140" s="244"/>
      <c r="AV140" s="244"/>
      <c r="AW140" s="244"/>
      <c r="AX140" s="244"/>
      <c r="AY140" s="244"/>
      <c r="AZ140" s="244"/>
      <c r="BA140" s="244"/>
      <c r="BB140" s="245"/>
      <c r="BC140" s="346"/>
      <c r="BD140" s="347"/>
    </row>
    <row r="141" spans="1:56">
      <c r="A141" s="369"/>
      <c r="B141" s="352"/>
      <c r="C141" s="349"/>
      <c r="D141" s="43">
        <f t="shared" si="7"/>
        <v>5</v>
      </c>
      <c r="E141" s="43">
        <v>1</v>
      </c>
      <c r="F141" s="43" t="s">
        <v>33</v>
      </c>
      <c r="G141" s="43">
        <v>15</v>
      </c>
      <c r="H141" s="43">
        <f t="shared" si="6"/>
        <v>0</v>
      </c>
      <c r="I141" s="43" t="s">
        <v>34</v>
      </c>
      <c r="J141" s="354" t="s">
        <v>37</v>
      </c>
      <c r="K141" s="238"/>
      <c r="L141" s="42"/>
      <c r="M141" s="42"/>
      <c r="N141" s="238"/>
      <c r="O141" s="238"/>
      <c r="P141" s="42"/>
      <c r="Q141" s="42"/>
      <c r="R141" s="239"/>
      <c r="S141" s="239"/>
      <c r="T141" s="42"/>
      <c r="U141" s="42"/>
      <c r="V141" s="238"/>
      <c r="W141" s="238"/>
      <c r="X141" s="42"/>
      <c r="Y141" s="42"/>
      <c r="Z141" s="42"/>
      <c r="AA141" s="240"/>
      <c r="AB141" s="240"/>
      <c r="AC141" s="42"/>
      <c r="AD141" s="42"/>
      <c r="AE141" s="238"/>
      <c r="AF141" s="238"/>
      <c r="AG141" s="42">
        <v>3</v>
      </c>
      <c r="AH141" s="42">
        <v>3</v>
      </c>
      <c r="AI141" s="240"/>
      <c r="AJ141" s="240"/>
      <c r="AK141" s="42">
        <v>3</v>
      </c>
      <c r="AL141" s="42">
        <v>3</v>
      </c>
      <c r="AM141" s="238"/>
      <c r="AN141" s="238"/>
      <c r="AO141" s="42">
        <v>3</v>
      </c>
      <c r="AP141" s="42"/>
      <c r="AQ141" s="240"/>
      <c r="AR141" s="240"/>
      <c r="AS141" s="42"/>
      <c r="AT141" s="42"/>
      <c r="AU141" s="238"/>
      <c r="AV141" s="238"/>
      <c r="AW141" s="238"/>
      <c r="AX141" s="238"/>
      <c r="AY141" s="238"/>
      <c r="AZ141" s="42"/>
      <c r="BA141" s="238"/>
      <c r="BB141" s="246"/>
      <c r="BC141" s="356" t="s">
        <v>209</v>
      </c>
      <c r="BD141" s="357"/>
    </row>
    <row r="142" spans="1:56">
      <c r="A142" s="369"/>
      <c r="B142" s="352"/>
      <c r="C142" s="349"/>
      <c r="D142" s="43">
        <f t="shared" si="7"/>
        <v>4</v>
      </c>
      <c r="E142" s="43">
        <v>1</v>
      </c>
      <c r="F142" s="43" t="s">
        <v>36</v>
      </c>
      <c r="G142" s="43">
        <v>15</v>
      </c>
      <c r="H142" s="43">
        <f t="shared" si="6"/>
        <v>3</v>
      </c>
      <c r="I142" s="43" t="s">
        <v>34</v>
      </c>
      <c r="J142" s="352"/>
      <c r="K142" s="179"/>
      <c r="L142" s="43"/>
      <c r="M142" s="43"/>
      <c r="N142" s="179"/>
      <c r="O142" s="179"/>
      <c r="P142" s="43"/>
      <c r="Q142" s="43"/>
      <c r="R142" s="137"/>
      <c r="S142" s="137"/>
      <c r="T142" s="43"/>
      <c r="U142" s="43"/>
      <c r="V142" s="179"/>
      <c r="W142" s="179"/>
      <c r="X142" s="43"/>
      <c r="Y142" s="43"/>
      <c r="Z142" s="43"/>
      <c r="AA142" s="143"/>
      <c r="AB142" s="143"/>
      <c r="AC142" s="43"/>
      <c r="AD142" s="43"/>
      <c r="AE142" s="179"/>
      <c r="AF142" s="179"/>
      <c r="AG142" s="43">
        <v>3</v>
      </c>
      <c r="AH142" s="43">
        <v>3</v>
      </c>
      <c r="AI142" s="143"/>
      <c r="AJ142" s="143"/>
      <c r="AK142" s="43">
        <v>3</v>
      </c>
      <c r="AL142" s="43">
        <v>3</v>
      </c>
      <c r="AM142" s="179"/>
      <c r="AN142" s="179"/>
      <c r="AO142" s="43"/>
      <c r="AP142" s="43"/>
      <c r="AQ142" s="143"/>
      <c r="AR142" s="143"/>
      <c r="AS142" s="43"/>
      <c r="AT142" s="43"/>
      <c r="AU142" s="179"/>
      <c r="AV142" s="179"/>
      <c r="AW142" s="179"/>
      <c r="AX142" s="179"/>
      <c r="AY142" s="179"/>
      <c r="AZ142" s="43"/>
      <c r="BA142" s="179"/>
      <c r="BB142" s="247"/>
      <c r="BC142" s="344"/>
      <c r="BD142" s="345"/>
    </row>
    <row r="143" spans="1:56" ht="15.75" thickBot="1">
      <c r="A143" s="370"/>
      <c r="B143" s="355"/>
      <c r="C143" s="350"/>
      <c r="D143" s="46">
        <f t="shared" si="7"/>
        <v>4</v>
      </c>
      <c r="E143" s="46">
        <v>1</v>
      </c>
      <c r="F143" s="46" t="s">
        <v>39</v>
      </c>
      <c r="G143" s="46">
        <v>12</v>
      </c>
      <c r="H143" s="46">
        <f t="shared" si="6"/>
        <v>-6</v>
      </c>
      <c r="I143" s="46">
        <v>127</v>
      </c>
      <c r="J143" s="355"/>
      <c r="K143" s="180"/>
      <c r="L143" s="46"/>
      <c r="M143" s="46"/>
      <c r="N143" s="180"/>
      <c r="O143" s="180"/>
      <c r="P143" s="46"/>
      <c r="Q143" s="46"/>
      <c r="R143" s="138"/>
      <c r="S143" s="138"/>
      <c r="T143" s="46"/>
      <c r="U143" s="46"/>
      <c r="V143" s="180"/>
      <c r="W143" s="180"/>
      <c r="X143" s="46"/>
      <c r="Y143" s="46"/>
      <c r="Z143" s="46"/>
      <c r="AA143" s="144"/>
      <c r="AB143" s="144"/>
      <c r="AC143" s="46"/>
      <c r="AD143" s="46"/>
      <c r="AE143" s="180"/>
      <c r="AF143" s="180"/>
      <c r="AG143" s="46"/>
      <c r="AH143" s="46"/>
      <c r="AI143" s="144"/>
      <c r="AJ143" s="144"/>
      <c r="AK143" s="46"/>
      <c r="AL143" s="46"/>
      <c r="AM143" s="180"/>
      <c r="AN143" s="180"/>
      <c r="AO143" s="46"/>
      <c r="AP143" s="46">
        <v>3</v>
      </c>
      <c r="AQ143" s="144"/>
      <c r="AR143" s="144"/>
      <c r="AS143" s="46">
        <v>3</v>
      </c>
      <c r="AT143" s="46">
        <v>6</v>
      </c>
      <c r="AU143" s="180"/>
      <c r="AV143" s="180"/>
      <c r="AW143" s="180"/>
      <c r="AX143" s="180"/>
      <c r="AY143" s="180"/>
      <c r="AZ143" s="46">
        <v>6</v>
      </c>
      <c r="BA143" s="180"/>
      <c r="BB143" s="248"/>
      <c r="BC143" s="323"/>
      <c r="BD143" s="324"/>
    </row>
    <row r="144" spans="1:56" ht="15.75" thickTop="1">
      <c r="A144" s="365" t="s">
        <v>210</v>
      </c>
      <c r="B144" s="363" t="s">
        <v>211</v>
      </c>
      <c r="C144" s="363" t="s">
        <v>156</v>
      </c>
      <c r="D144" s="45">
        <f t="shared" si="7"/>
        <v>5</v>
      </c>
      <c r="E144" s="45">
        <v>0</v>
      </c>
      <c r="F144" s="45" t="s">
        <v>33</v>
      </c>
      <c r="G144" s="45">
        <v>7.5</v>
      </c>
      <c r="H144" s="45">
        <f t="shared" si="6"/>
        <v>0</v>
      </c>
      <c r="I144" s="47" t="s">
        <v>34</v>
      </c>
      <c r="J144" s="351" t="s">
        <v>35</v>
      </c>
      <c r="K144" s="178"/>
      <c r="L144" s="45"/>
      <c r="M144" s="45"/>
      <c r="N144" s="178"/>
      <c r="O144" s="178"/>
      <c r="P144" s="45"/>
      <c r="Q144" s="45"/>
      <c r="R144" s="136"/>
      <c r="S144" s="136"/>
      <c r="T144" s="45"/>
      <c r="U144" s="45"/>
      <c r="V144" s="178"/>
      <c r="W144" s="178"/>
      <c r="X144" s="45"/>
      <c r="Y144" s="45"/>
      <c r="Z144" s="45"/>
      <c r="AA144" s="142"/>
      <c r="AB144" s="142"/>
      <c r="AC144" s="45">
        <v>1.5</v>
      </c>
      <c r="AD144" s="45">
        <v>1.5</v>
      </c>
      <c r="AE144" s="178">
        <v>1.5</v>
      </c>
      <c r="AF144" s="178">
        <v>1.5</v>
      </c>
      <c r="AG144" s="45">
        <v>1.5</v>
      </c>
      <c r="AH144" s="45"/>
      <c r="AI144" s="142"/>
      <c r="AJ144" s="142"/>
      <c r="AK144" s="45"/>
      <c r="AL144" s="45"/>
      <c r="AM144" s="178"/>
      <c r="AN144" s="178"/>
      <c r="AO144" s="153"/>
      <c r="AP144" s="153"/>
      <c r="AQ144" s="154"/>
      <c r="AR144" s="154"/>
      <c r="AS144" s="153"/>
      <c r="AT144" s="153"/>
      <c r="AU144" s="153"/>
      <c r="AV144" s="153"/>
      <c r="AW144" s="153"/>
      <c r="AX144" s="153"/>
      <c r="AY144" s="153"/>
      <c r="AZ144" s="153"/>
      <c r="BA144" s="153"/>
      <c r="BB144" s="155"/>
      <c r="BC144" s="321"/>
      <c r="BD144" s="322"/>
    </row>
    <row r="145" spans="1:56">
      <c r="A145" s="366"/>
      <c r="B145" s="349"/>
      <c r="C145" s="349"/>
      <c r="D145" s="43">
        <f t="shared" si="7"/>
        <v>5</v>
      </c>
      <c r="E145" s="43">
        <v>0</v>
      </c>
      <c r="F145" s="43" t="s">
        <v>36</v>
      </c>
      <c r="G145" s="43">
        <v>7.5</v>
      </c>
      <c r="H145" s="43">
        <f t="shared" si="6"/>
        <v>0</v>
      </c>
      <c r="I145" s="44" t="s">
        <v>34</v>
      </c>
      <c r="J145" s="352"/>
      <c r="K145" s="179"/>
      <c r="L145" s="43"/>
      <c r="M145" s="43"/>
      <c r="N145" s="179"/>
      <c r="O145" s="179"/>
      <c r="P145" s="43"/>
      <c r="Q145" s="43"/>
      <c r="R145" s="137"/>
      <c r="S145" s="137"/>
      <c r="T145" s="43"/>
      <c r="U145" s="43"/>
      <c r="V145" s="179"/>
      <c r="W145" s="179"/>
      <c r="X145" s="43"/>
      <c r="Y145" s="43"/>
      <c r="Z145" s="43"/>
      <c r="AA145" s="143"/>
      <c r="AB145" s="143"/>
      <c r="AC145" s="43">
        <v>1.5</v>
      </c>
      <c r="AD145" s="43">
        <v>1.5</v>
      </c>
      <c r="AE145" s="179">
        <v>1.5</v>
      </c>
      <c r="AF145" s="179">
        <v>1.5</v>
      </c>
      <c r="AG145" s="43">
        <v>1.5</v>
      </c>
      <c r="AH145" s="43"/>
      <c r="AI145" s="143"/>
      <c r="AJ145" s="143"/>
      <c r="AK145" s="43"/>
      <c r="AL145" s="43"/>
      <c r="AM145" s="179"/>
      <c r="AN145" s="179"/>
      <c r="AO145" s="156"/>
      <c r="AP145" s="156"/>
      <c r="AQ145" s="157"/>
      <c r="AR145" s="157"/>
      <c r="AS145" s="156"/>
      <c r="AT145" s="156"/>
      <c r="AU145" s="156"/>
      <c r="AV145" s="156"/>
      <c r="AW145" s="156"/>
      <c r="AX145" s="156"/>
      <c r="AY145" s="156"/>
      <c r="AZ145" s="156"/>
      <c r="BA145" s="156"/>
      <c r="BB145" s="158"/>
      <c r="BC145" s="344"/>
      <c r="BD145" s="345"/>
    </row>
    <row r="146" spans="1:56" ht="15.75" thickBot="1">
      <c r="A146" s="366"/>
      <c r="B146" s="349"/>
      <c r="C146" s="349"/>
      <c r="D146" s="43">
        <f t="shared" si="7"/>
        <v>5</v>
      </c>
      <c r="E146" s="43">
        <v>0</v>
      </c>
      <c r="F146" s="43" t="s">
        <v>39</v>
      </c>
      <c r="G146" s="43">
        <v>15</v>
      </c>
      <c r="H146" s="43">
        <f t="shared" si="6"/>
        <v>0</v>
      </c>
      <c r="I146" s="44">
        <v>128</v>
      </c>
      <c r="J146" s="353"/>
      <c r="K146" s="241"/>
      <c r="L146" s="221"/>
      <c r="M146" s="221"/>
      <c r="N146" s="241"/>
      <c r="O146" s="241"/>
      <c r="P146" s="221"/>
      <c r="Q146" s="221"/>
      <c r="R146" s="242"/>
      <c r="S146" s="242"/>
      <c r="T146" s="221"/>
      <c r="U146" s="221"/>
      <c r="V146" s="241"/>
      <c r="W146" s="241"/>
      <c r="X146" s="221"/>
      <c r="Y146" s="221"/>
      <c r="Z146" s="221"/>
      <c r="AA146" s="243"/>
      <c r="AB146" s="243"/>
      <c r="AC146" s="221"/>
      <c r="AD146" s="221"/>
      <c r="AE146" s="241"/>
      <c r="AF146" s="241"/>
      <c r="AG146" s="221"/>
      <c r="AH146" s="221">
        <v>3</v>
      </c>
      <c r="AI146" s="243"/>
      <c r="AJ146" s="243"/>
      <c r="AK146" s="221">
        <v>3</v>
      </c>
      <c r="AL146" s="221">
        <v>3</v>
      </c>
      <c r="AM146" s="241">
        <v>3</v>
      </c>
      <c r="AN146" s="241">
        <v>3</v>
      </c>
      <c r="AO146" s="244"/>
      <c r="AP146" s="244"/>
      <c r="AQ146" s="250"/>
      <c r="AR146" s="250"/>
      <c r="AS146" s="244"/>
      <c r="AT146" s="244"/>
      <c r="AU146" s="244"/>
      <c r="AV146" s="244"/>
      <c r="AW146" s="244"/>
      <c r="AX146" s="244"/>
      <c r="AY146" s="244"/>
      <c r="AZ146" s="244"/>
      <c r="BA146" s="244"/>
      <c r="BB146" s="245"/>
      <c r="BC146" s="346"/>
      <c r="BD146" s="347"/>
    </row>
    <row r="147" spans="1:56">
      <c r="A147" s="366"/>
      <c r="B147" s="349"/>
      <c r="C147" s="349"/>
      <c r="D147" s="43">
        <f t="shared" si="7"/>
        <v>5</v>
      </c>
      <c r="E147" s="43">
        <v>1</v>
      </c>
      <c r="F147" s="43" t="s">
        <v>33</v>
      </c>
      <c r="G147" s="43">
        <v>7.5</v>
      </c>
      <c r="H147" s="43">
        <f t="shared" si="6"/>
        <v>0</v>
      </c>
      <c r="I147" s="44" t="s">
        <v>34</v>
      </c>
      <c r="J147" s="349" t="s">
        <v>37</v>
      </c>
      <c r="K147" s="238"/>
      <c r="L147" s="42"/>
      <c r="M147" s="42"/>
      <c r="N147" s="238"/>
      <c r="O147" s="238"/>
      <c r="P147" s="42"/>
      <c r="Q147" s="42"/>
      <c r="R147" s="239"/>
      <c r="S147" s="239"/>
      <c r="T147" s="42"/>
      <c r="U147" s="42"/>
      <c r="V147" s="238"/>
      <c r="W147" s="238"/>
      <c r="X147" s="42"/>
      <c r="Y147" s="42"/>
      <c r="Z147" s="42"/>
      <c r="AA147" s="240"/>
      <c r="AB147" s="240"/>
      <c r="AC147" s="42">
        <v>1.5</v>
      </c>
      <c r="AD147" s="42"/>
      <c r="AE147" s="238"/>
      <c r="AF147" s="238"/>
      <c r="AG147" s="42">
        <v>1.5</v>
      </c>
      <c r="AH147" s="42">
        <v>1.5</v>
      </c>
      <c r="AI147" s="240"/>
      <c r="AJ147" s="240"/>
      <c r="AK147" s="42">
        <v>1.5</v>
      </c>
      <c r="AL147" s="42">
        <v>1.5</v>
      </c>
      <c r="AM147" s="238"/>
      <c r="AN147" s="238"/>
      <c r="AO147" s="42"/>
      <c r="AP147" s="42"/>
      <c r="AQ147" s="240"/>
      <c r="AR147" s="240"/>
      <c r="AS147" s="42"/>
      <c r="AT147" s="42"/>
      <c r="AU147" s="238"/>
      <c r="AV147" s="238"/>
      <c r="AW147" s="238"/>
      <c r="AX147" s="238"/>
      <c r="AY147" s="238"/>
      <c r="AZ147" s="42"/>
      <c r="BA147" s="238"/>
      <c r="BB147" s="246"/>
      <c r="BC147" s="356"/>
      <c r="BD147" s="357"/>
    </row>
    <row r="148" spans="1:56">
      <c r="A148" s="366"/>
      <c r="B148" s="349"/>
      <c r="C148" s="349"/>
      <c r="D148" s="43">
        <f t="shared" si="7"/>
        <v>5</v>
      </c>
      <c r="E148" s="43">
        <v>1</v>
      </c>
      <c r="F148" s="43" t="s">
        <v>36</v>
      </c>
      <c r="G148" s="43">
        <v>7.5</v>
      </c>
      <c r="H148" s="43">
        <f t="shared" si="6"/>
        <v>0</v>
      </c>
      <c r="I148" s="44" t="s">
        <v>34</v>
      </c>
      <c r="J148" s="349"/>
      <c r="K148" s="179"/>
      <c r="L148" s="43"/>
      <c r="M148" s="43"/>
      <c r="N148" s="179"/>
      <c r="O148" s="179"/>
      <c r="P148" s="43"/>
      <c r="Q148" s="43"/>
      <c r="R148" s="137"/>
      <c r="S148" s="137"/>
      <c r="T148" s="43"/>
      <c r="U148" s="43"/>
      <c r="V148" s="179"/>
      <c r="W148" s="179"/>
      <c r="X148" s="43"/>
      <c r="Y148" s="43"/>
      <c r="Z148" s="43"/>
      <c r="AA148" s="143"/>
      <c r="AB148" s="143"/>
      <c r="AC148" s="43"/>
      <c r="AD148" s="43">
        <v>1.5</v>
      </c>
      <c r="AE148" s="179"/>
      <c r="AF148" s="179"/>
      <c r="AG148" s="43">
        <v>1.5</v>
      </c>
      <c r="AH148" s="43">
        <v>1.5</v>
      </c>
      <c r="AI148" s="143"/>
      <c r="AJ148" s="143"/>
      <c r="AK148" s="43">
        <v>1.5</v>
      </c>
      <c r="AL148" s="43">
        <v>1.5</v>
      </c>
      <c r="AM148" s="179"/>
      <c r="AN148" s="179"/>
      <c r="AO148" s="43"/>
      <c r="AP148" s="43"/>
      <c r="AQ148" s="143"/>
      <c r="AR148" s="143"/>
      <c r="AS148" s="43"/>
      <c r="AT148" s="43"/>
      <c r="AU148" s="179"/>
      <c r="AV148" s="179"/>
      <c r="AW148" s="179"/>
      <c r="AX148" s="179"/>
      <c r="AY148" s="179"/>
      <c r="AZ148" s="43"/>
      <c r="BA148" s="179"/>
      <c r="BB148" s="247"/>
      <c r="BC148" s="344"/>
      <c r="BD148" s="345"/>
    </row>
    <row r="149" spans="1:56" ht="15.75" thickBot="1">
      <c r="A149" s="367"/>
      <c r="B149" s="350"/>
      <c r="C149" s="350"/>
      <c r="D149" s="46">
        <f t="shared" si="7"/>
        <v>5</v>
      </c>
      <c r="E149" s="46">
        <v>1</v>
      </c>
      <c r="F149" s="46" t="s">
        <v>39</v>
      </c>
      <c r="G149" s="46">
        <v>15</v>
      </c>
      <c r="H149" s="46">
        <f t="shared" si="6"/>
        <v>0</v>
      </c>
      <c r="I149" s="48">
        <v>128</v>
      </c>
      <c r="J149" s="350"/>
      <c r="K149" s="180"/>
      <c r="L149" s="46"/>
      <c r="M149" s="46"/>
      <c r="N149" s="180"/>
      <c r="O149" s="180"/>
      <c r="P149" s="46"/>
      <c r="Q149" s="46"/>
      <c r="R149" s="138"/>
      <c r="S149" s="138"/>
      <c r="T149" s="46"/>
      <c r="U149" s="46"/>
      <c r="V149" s="180"/>
      <c r="W149" s="180"/>
      <c r="X149" s="46"/>
      <c r="Y149" s="46"/>
      <c r="Z149" s="46"/>
      <c r="AA149" s="144"/>
      <c r="AB149" s="144"/>
      <c r="AC149" s="46"/>
      <c r="AD149" s="46"/>
      <c r="AE149" s="180"/>
      <c r="AF149" s="180"/>
      <c r="AG149" s="46"/>
      <c r="AH149" s="46"/>
      <c r="AI149" s="144"/>
      <c r="AJ149" s="144"/>
      <c r="AK149" s="46"/>
      <c r="AL149" s="46"/>
      <c r="AM149" s="180"/>
      <c r="AN149" s="180"/>
      <c r="AO149" s="46">
        <v>3</v>
      </c>
      <c r="AP149" s="46">
        <v>3</v>
      </c>
      <c r="AQ149" s="144"/>
      <c r="AR149" s="144"/>
      <c r="AS149" s="46">
        <v>3</v>
      </c>
      <c r="AT149" s="46">
        <v>3</v>
      </c>
      <c r="AU149" s="180"/>
      <c r="AV149" s="180"/>
      <c r="AW149" s="180"/>
      <c r="AX149" s="180"/>
      <c r="AY149" s="180"/>
      <c r="AZ149" s="46">
        <v>3</v>
      </c>
      <c r="BA149" s="180"/>
      <c r="BB149" s="248"/>
      <c r="BC149" s="323"/>
      <c r="BD149" s="324"/>
    </row>
    <row r="150" spans="1:56" ht="15.75" thickTop="1">
      <c r="A150" s="365" t="s">
        <v>212</v>
      </c>
      <c r="B150" s="363" t="s">
        <v>213</v>
      </c>
      <c r="C150" s="363" t="s">
        <v>73</v>
      </c>
      <c r="D150" s="45">
        <f t="shared" si="7"/>
        <v>5</v>
      </c>
      <c r="E150" s="45">
        <v>2</v>
      </c>
      <c r="F150" s="45" t="s">
        <v>33</v>
      </c>
      <c r="G150" s="45">
        <v>7.5</v>
      </c>
      <c r="H150" s="45">
        <f t="shared" si="6"/>
        <v>0</v>
      </c>
      <c r="I150" s="47" t="s">
        <v>34</v>
      </c>
      <c r="J150" s="363" t="s">
        <v>74</v>
      </c>
      <c r="K150" s="178"/>
      <c r="L150" s="45"/>
      <c r="M150" s="45"/>
      <c r="N150" s="178"/>
      <c r="O150" s="178"/>
      <c r="P150" s="45"/>
      <c r="Q150" s="45"/>
      <c r="R150" s="136"/>
      <c r="S150" s="136"/>
      <c r="T150" s="45"/>
      <c r="U150" s="45"/>
      <c r="V150" s="178"/>
      <c r="W150" s="178"/>
      <c r="X150" s="45"/>
      <c r="Y150" s="45"/>
      <c r="Z150" s="45"/>
      <c r="AA150" s="142"/>
      <c r="AB150" s="142"/>
      <c r="AC150" s="45">
        <v>1.5</v>
      </c>
      <c r="AD150" s="45">
        <v>1.5</v>
      </c>
      <c r="AE150" s="178"/>
      <c r="AF150" s="178"/>
      <c r="AG150" s="45">
        <v>1.5</v>
      </c>
      <c r="AH150" s="45">
        <v>1.5</v>
      </c>
      <c r="AI150" s="142"/>
      <c r="AJ150" s="142"/>
      <c r="AK150" s="45">
        <v>1.5</v>
      </c>
      <c r="AL150" s="45"/>
      <c r="AM150" s="178"/>
      <c r="AN150" s="178"/>
      <c r="AO150" s="45"/>
      <c r="AP150" s="45"/>
      <c r="AQ150" s="142"/>
      <c r="AR150" s="142"/>
      <c r="AS150" s="45"/>
      <c r="AT150" s="45"/>
      <c r="AU150" s="178"/>
      <c r="AV150" s="178"/>
      <c r="AW150" s="178"/>
      <c r="AX150" s="178"/>
      <c r="AY150" s="178"/>
      <c r="AZ150" s="45"/>
      <c r="BA150" s="178"/>
      <c r="BB150" s="249"/>
      <c r="BC150" s="321"/>
      <c r="BD150" s="322"/>
    </row>
    <row r="151" spans="1:56">
      <c r="A151" s="366"/>
      <c r="B151" s="349"/>
      <c r="C151" s="349"/>
      <c r="D151" s="43">
        <f t="shared" si="7"/>
        <v>5</v>
      </c>
      <c r="E151" s="43">
        <v>2</v>
      </c>
      <c r="F151" s="43" t="s">
        <v>36</v>
      </c>
      <c r="G151" s="43">
        <v>7.5</v>
      </c>
      <c r="H151" s="43">
        <f t="shared" si="6"/>
        <v>0</v>
      </c>
      <c r="I151" s="44" t="s">
        <v>34</v>
      </c>
      <c r="J151" s="349"/>
      <c r="K151" s="179"/>
      <c r="L151" s="43"/>
      <c r="M151" s="43"/>
      <c r="N151" s="179"/>
      <c r="O151" s="179"/>
      <c r="P151" s="43"/>
      <c r="Q151" s="43"/>
      <c r="R151" s="137"/>
      <c r="S151" s="137"/>
      <c r="T151" s="43"/>
      <c r="U151" s="43"/>
      <c r="V151" s="179"/>
      <c r="W151" s="179"/>
      <c r="X151" s="43"/>
      <c r="Y151" s="43"/>
      <c r="Z151" s="43"/>
      <c r="AA151" s="143"/>
      <c r="AB151" s="143"/>
      <c r="AC151" s="43">
        <v>1.5</v>
      </c>
      <c r="AD151" s="43">
        <v>1.5</v>
      </c>
      <c r="AE151" s="179"/>
      <c r="AF151" s="179"/>
      <c r="AG151" s="43">
        <v>1.5</v>
      </c>
      <c r="AH151" s="43">
        <v>1.5</v>
      </c>
      <c r="AI151" s="143"/>
      <c r="AJ151" s="143"/>
      <c r="AK151" s="43">
        <v>1.5</v>
      </c>
      <c r="AL151" s="43"/>
      <c r="AM151" s="179"/>
      <c r="AN151" s="179"/>
      <c r="AO151" s="43"/>
      <c r="AP151" s="43"/>
      <c r="AQ151" s="143"/>
      <c r="AR151" s="143"/>
      <c r="AS151" s="43"/>
      <c r="AT151" s="43"/>
      <c r="AU151" s="179"/>
      <c r="AV151" s="179"/>
      <c r="AW151" s="179"/>
      <c r="AX151" s="179"/>
      <c r="AY151" s="179"/>
      <c r="AZ151" s="43"/>
      <c r="BA151" s="179"/>
      <c r="BB151" s="247"/>
      <c r="BC151" s="344"/>
      <c r="BD151" s="345"/>
    </row>
    <row r="152" spans="1:56" ht="15.75" thickBot="1">
      <c r="A152" s="366"/>
      <c r="B152" s="349"/>
      <c r="C152" s="349"/>
      <c r="D152" s="43">
        <f t="shared" si="7"/>
        <v>3</v>
      </c>
      <c r="E152" s="43">
        <v>0</v>
      </c>
      <c r="F152" s="43" t="s">
        <v>39</v>
      </c>
      <c r="G152" s="43">
        <v>9</v>
      </c>
      <c r="H152" s="43">
        <f t="shared" ref="H152:H193" si="9">G152-SUM(K152:BA152)</f>
        <v>0</v>
      </c>
      <c r="I152" s="44">
        <v>123</v>
      </c>
      <c r="J152" s="66" t="s">
        <v>35</v>
      </c>
      <c r="K152" s="179"/>
      <c r="L152" s="43"/>
      <c r="M152" s="43"/>
      <c r="N152" s="179"/>
      <c r="O152" s="179"/>
      <c r="P152" s="43"/>
      <c r="Q152" s="43"/>
      <c r="R152" s="137"/>
      <c r="S152" s="137"/>
      <c r="T152" s="43"/>
      <c r="U152" s="43"/>
      <c r="V152" s="179"/>
      <c r="W152" s="179"/>
      <c r="X152" s="43"/>
      <c r="Y152" s="43"/>
      <c r="Z152" s="43"/>
      <c r="AA152" s="143"/>
      <c r="AB152" s="143"/>
      <c r="AC152" s="43"/>
      <c r="AD152" s="43"/>
      <c r="AE152" s="179"/>
      <c r="AF152" s="179"/>
      <c r="AG152" s="43"/>
      <c r="AH152" s="43"/>
      <c r="AI152" s="143"/>
      <c r="AJ152" s="143"/>
      <c r="AK152" s="43"/>
      <c r="AL152" s="43">
        <v>3</v>
      </c>
      <c r="AM152" s="179">
        <v>3</v>
      </c>
      <c r="AN152" s="179">
        <v>3</v>
      </c>
      <c r="AO152" s="156"/>
      <c r="AP152" s="156"/>
      <c r="AQ152" s="157"/>
      <c r="AR152" s="157"/>
      <c r="AS152" s="156"/>
      <c r="AT152" s="156"/>
      <c r="AU152" s="156"/>
      <c r="AV152" s="156"/>
      <c r="AW152" s="156"/>
      <c r="AX152" s="156"/>
      <c r="AY152" s="156"/>
      <c r="AZ152" s="156"/>
      <c r="BA152" s="156"/>
      <c r="BB152" s="158"/>
      <c r="BC152" s="344"/>
      <c r="BD152" s="345"/>
    </row>
    <row r="153" spans="1:56" ht="15.75" thickBot="1">
      <c r="A153" s="367"/>
      <c r="B153" s="350"/>
      <c r="C153" s="350"/>
      <c r="D153" s="46">
        <f t="shared" si="7"/>
        <v>3</v>
      </c>
      <c r="E153" s="46">
        <v>1</v>
      </c>
      <c r="F153" s="46" t="s">
        <v>39</v>
      </c>
      <c r="G153" s="46">
        <v>9</v>
      </c>
      <c r="H153" s="46">
        <f t="shared" si="9"/>
        <v>0</v>
      </c>
      <c r="I153" s="48">
        <v>123</v>
      </c>
      <c r="J153" s="48" t="s">
        <v>37</v>
      </c>
      <c r="K153" s="180"/>
      <c r="L153" s="46"/>
      <c r="M153" s="46"/>
      <c r="N153" s="180"/>
      <c r="O153" s="180"/>
      <c r="P153" s="46"/>
      <c r="Q153" s="46"/>
      <c r="R153" s="138"/>
      <c r="S153" s="138"/>
      <c r="T153" s="46"/>
      <c r="U153" s="46"/>
      <c r="V153" s="180"/>
      <c r="W153" s="180"/>
      <c r="X153" s="46"/>
      <c r="Y153" s="46"/>
      <c r="Z153" s="46"/>
      <c r="AA153" s="144"/>
      <c r="AB153" s="144"/>
      <c r="AC153" s="46"/>
      <c r="AD153" s="46"/>
      <c r="AE153" s="180"/>
      <c r="AF153" s="180"/>
      <c r="AG153" s="46"/>
      <c r="AH153" s="46"/>
      <c r="AI153" s="144"/>
      <c r="AJ153" s="144"/>
      <c r="AK153" s="46"/>
      <c r="AL153" s="46"/>
      <c r="AM153" s="180"/>
      <c r="AN153" s="180"/>
      <c r="AO153" s="46">
        <v>3</v>
      </c>
      <c r="AP153" s="46">
        <v>3</v>
      </c>
      <c r="AQ153" s="144"/>
      <c r="AR153" s="144"/>
      <c r="AS153" s="46">
        <v>3</v>
      </c>
      <c r="AT153" s="46"/>
      <c r="AU153" s="180"/>
      <c r="AV153" s="180"/>
      <c r="AW153" s="180"/>
      <c r="AX153" s="180"/>
      <c r="AY153" s="180"/>
      <c r="AZ153" s="46"/>
      <c r="BA153" s="180"/>
      <c r="BB153" s="248"/>
      <c r="BC153" s="323"/>
      <c r="BD153" s="324"/>
    </row>
    <row r="154" spans="1:56" ht="15.75" thickTop="1">
      <c r="A154" s="368" t="s">
        <v>214</v>
      </c>
      <c r="B154" s="351" t="s">
        <v>215</v>
      </c>
      <c r="C154" s="351" t="s">
        <v>45</v>
      </c>
      <c r="D154" s="45">
        <f t="shared" si="7"/>
        <v>6</v>
      </c>
      <c r="E154" s="45">
        <v>0</v>
      </c>
      <c r="F154" s="45" t="s">
        <v>33</v>
      </c>
      <c r="G154" s="45">
        <v>10.5</v>
      </c>
      <c r="H154" s="45">
        <f t="shared" si="9"/>
        <v>0</v>
      </c>
      <c r="I154" s="45" t="s">
        <v>34</v>
      </c>
      <c r="J154" s="351" t="s">
        <v>35</v>
      </c>
      <c r="K154" s="178"/>
      <c r="L154" s="45"/>
      <c r="M154" s="45"/>
      <c r="N154" s="178"/>
      <c r="O154" s="178"/>
      <c r="P154" s="45"/>
      <c r="Q154" s="45"/>
      <c r="R154" s="136"/>
      <c r="S154" s="136"/>
      <c r="T154" s="45"/>
      <c r="U154" s="45"/>
      <c r="V154" s="178"/>
      <c r="W154" s="178"/>
      <c r="X154" s="45"/>
      <c r="Y154" s="45"/>
      <c r="Z154" s="45"/>
      <c r="AA154" s="142"/>
      <c r="AB154" s="142"/>
      <c r="AC154" s="45">
        <v>1.5</v>
      </c>
      <c r="AD154" s="45">
        <v>1.5</v>
      </c>
      <c r="AE154" s="178">
        <v>1.5</v>
      </c>
      <c r="AF154" s="178">
        <v>1.5</v>
      </c>
      <c r="AG154" s="45">
        <v>1.5</v>
      </c>
      <c r="AH154" s="45">
        <v>3</v>
      </c>
      <c r="AI154" s="142"/>
      <c r="AJ154" s="142"/>
      <c r="AK154" s="45"/>
      <c r="AL154" s="45"/>
      <c r="AM154" s="178"/>
      <c r="AN154" s="178"/>
      <c r="AO154" s="153"/>
      <c r="AP154" s="153"/>
      <c r="AQ154" s="154"/>
      <c r="AR154" s="154"/>
      <c r="AS154" s="153"/>
      <c r="AT154" s="153"/>
      <c r="AU154" s="153"/>
      <c r="AV154" s="153"/>
      <c r="AW154" s="153"/>
      <c r="AX154" s="153"/>
      <c r="AY154" s="153"/>
      <c r="AZ154" s="153"/>
      <c r="BA154" s="153"/>
      <c r="BB154" s="155"/>
      <c r="BC154" s="321"/>
      <c r="BD154" s="322"/>
    </row>
    <row r="155" spans="1:56">
      <c r="A155" s="369"/>
      <c r="B155" s="352"/>
      <c r="C155" s="352"/>
      <c r="D155" s="43">
        <f t="shared" si="7"/>
        <v>6</v>
      </c>
      <c r="E155" s="43">
        <v>0</v>
      </c>
      <c r="F155" s="43" t="s">
        <v>36</v>
      </c>
      <c r="G155" s="43">
        <v>10.5</v>
      </c>
      <c r="H155" s="43">
        <f t="shared" si="9"/>
        <v>0</v>
      </c>
      <c r="I155" s="43" t="s">
        <v>34</v>
      </c>
      <c r="J155" s="352"/>
      <c r="K155" s="179"/>
      <c r="L155" s="43"/>
      <c r="M155" s="43"/>
      <c r="N155" s="179"/>
      <c r="O155" s="179"/>
      <c r="P155" s="43"/>
      <c r="Q155" s="43"/>
      <c r="R155" s="137"/>
      <c r="S155" s="137"/>
      <c r="T155" s="43"/>
      <c r="U155" s="43"/>
      <c r="V155" s="179"/>
      <c r="W155" s="179"/>
      <c r="X155" s="43"/>
      <c r="Y155" s="43"/>
      <c r="Z155" s="43"/>
      <c r="AA155" s="143"/>
      <c r="AB155" s="143"/>
      <c r="AC155" s="43">
        <v>1.5</v>
      </c>
      <c r="AD155" s="43">
        <v>1.5</v>
      </c>
      <c r="AE155" s="179">
        <v>1.5</v>
      </c>
      <c r="AF155" s="179">
        <v>1.5</v>
      </c>
      <c r="AG155" s="43">
        <v>1.5</v>
      </c>
      <c r="AH155" s="43">
        <v>3</v>
      </c>
      <c r="AI155" s="143"/>
      <c r="AJ155" s="143"/>
      <c r="AK155" s="43"/>
      <c r="AL155" s="43"/>
      <c r="AM155" s="179"/>
      <c r="AN155" s="179"/>
      <c r="AO155" s="156"/>
      <c r="AP155" s="156"/>
      <c r="AQ155" s="157"/>
      <c r="AR155" s="157"/>
      <c r="AS155" s="156"/>
      <c r="AT155" s="156"/>
      <c r="AU155" s="156"/>
      <c r="AV155" s="156"/>
      <c r="AW155" s="156"/>
      <c r="AX155" s="156"/>
      <c r="AY155" s="156"/>
      <c r="AZ155" s="156"/>
      <c r="BA155" s="156"/>
      <c r="BB155" s="158"/>
      <c r="BC155" s="344"/>
      <c r="BD155" s="345"/>
    </row>
    <row r="156" spans="1:56" ht="15.75" thickBot="1">
      <c r="A156" s="369"/>
      <c r="B156" s="352"/>
      <c r="C156" s="352"/>
      <c r="D156" s="43">
        <f t="shared" si="7"/>
        <v>4</v>
      </c>
      <c r="E156" s="43">
        <v>0</v>
      </c>
      <c r="F156" s="43" t="s">
        <v>39</v>
      </c>
      <c r="G156" s="43">
        <v>15</v>
      </c>
      <c r="H156" s="43">
        <f t="shared" si="9"/>
        <v>0</v>
      </c>
      <c r="I156" s="41">
        <v>19</v>
      </c>
      <c r="J156" s="353"/>
      <c r="K156" s="241"/>
      <c r="L156" s="221"/>
      <c r="M156" s="221"/>
      <c r="N156" s="241"/>
      <c r="O156" s="241"/>
      <c r="P156" s="221"/>
      <c r="Q156" s="221"/>
      <c r="R156" s="242"/>
      <c r="S156" s="242"/>
      <c r="T156" s="221"/>
      <c r="U156" s="221"/>
      <c r="V156" s="241"/>
      <c r="W156" s="241"/>
      <c r="X156" s="221"/>
      <c r="Y156" s="221"/>
      <c r="Z156" s="221"/>
      <c r="AA156" s="243"/>
      <c r="AB156" s="243"/>
      <c r="AC156" s="221"/>
      <c r="AD156" s="221"/>
      <c r="AE156" s="241"/>
      <c r="AF156" s="241"/>
      <c r="AG156" s="221"/>
      <c r="AH156" s="221"/>
      <c r="AI156" s="243"/>
      <c r="AJ156" s="243"/>
      <c r="AK156" s="221">
        <v>3</v>
      </c>
      <c r="AL156" s="221">
        <v>3</v>
      </c>
      <c r="AM156" s="241">
        <v>3</v>
      </c>
      <c r="AN156" s="241">
        <v>6</v>
      </c>
      <c r="AO156" s="244"/>
      <c r="AP156" s="244"/>
      <c r="AQ156" s="250"/>
      <c r="AR156" s="250"/>
      <c r="AS156" s="244"/>
      <c r="AT156" s="244"/>
      <c r="AU156" s="244"/>
      <c r="AV156" s="244"/>
      <c r="AW156" s="244"/>
      <c r="AX156" s="244"/>
      <c r="AY156" s="244"/>
      <c r="AZ156" s="244"/>
      <c r="BA156" s="244"/>
      <c r="BB156" s="245"/>
      <c r="BC156" s="346"/>
      <c r="BD156" s="347"/>
    </row>
    <row r="157" spans="1:56">
      <c r="A157" s="369"/>
      <c r="B157" s="352"/>
      <c r="C157" s="352"/>
      <c r="D157" s="43">
        <f t="shared" si="7"/>
        <v>5</v>
      </c>
      <c r="E157" s="43">
        <v>1</v>
      </c>
      <c r="F157" s="43" t="s">
        <v>33</v>
      </c>
      <c r="G157" s="43">
        <v>10.5</v>
      </c>
      <c r="H157" s="43">
        <f t="shared" si="9"/>
        <v>0</v>
      </c>
      <c r="I157" s="42" t="s">
        <v>34</v>
      </c>
      <c r="J157" s="354" t="s">
        <v>37</v>
      </c>
      <c r="K157" s="238"/>
      <c r="L157" s="42"/>
      <c r="M157" s="42"/>
      <c r="N157" s="238"/>
      <c r="O157" s="238"/>
      <c r="P157" s="42"/>
      <c r="Q157" s="42"/>
      <c r="R157" s="239"/>
      <c r="S157" s="239"/>
      <c r="T157" s="42"/>
      <c r="U157" s="42"/>
      <c r="V157" s="238"/>
      <c r="W157" s="238"/>
      <c r="X157" s="42"/>
      <c r="Y157" s="42"/>
      <c r="Z157" s="42"/>
      <c r="AA157" s="240"/>
      <c r="AB157" s="240"/>
      <c r="AC157" s="42"/>
      <c r="AD157" s="42"/>
      <c r="AE157" s="238"/>
      <c r="AF157" s="238"/>
      <c r="AG157" s="42">
        <v>1.5</v>
      </c>
      <c r="AH157" s="42">
        <v>3</v>
      </c>
      <c r="AI157" s="240"/>
      <c r="AJ157" s="240"/>
      <c r="AK157" s="42">
        <v>3</v>
      </c>
      <c r="AL157" s="42">
        <v>1.5</v>
      </c>
      <c r="AM157" s="238"/>
      <c r="AN157" s="238"/>
      <c r="AO157" s="42">
        <v>1.5</v>
      </c>
      <c r="AP157" s="42"/>
      <c r="AQ157" s="240"/>
      <c r="AR157" s="240"/>
      <c r="AS157" s="42"/>
      <c r="AT157" s="42"/>
      <c r="AU157" s="238"/>
      <c r="AV157" s="238"/>
      <c r="AW157" s="238"/>
      <c r="AX157" s="238"/>
      <c r="AY157" s="238"/>
      <c r="AZ157" s="42"/>
      <c r="BA157" s="238"/>
      <c r="BB157" s="246"/>
      <c r="BC157" s="356"/>
      <c r="BD157" s="357"/>
    </row>
    <row r="158" spans="1:56">
      <c r="A158" s="369"/>
      <c r="B158" s="352"/>
      <c r="C158" s="352"/>
      <c r="D158" s="43">
        <f t="shared" si="7"/>
        <v>5</v>
      </c>
      <c r="E158" s="43">
        <v>1</v>
      </c>
      <c r="F158" s="43" t="s">
        <v>36</v>
      </c>
      <c r="G158" s="43">
        <v>10.5</v>
      </c>
      <c r="H158" s="43">
        <f t="shared" si="9"/>
        <v>0</v>
      </c>
      <c r="I158" s="43" t="s">
        <v>34</v>
      </c>
      <c r="J158" s="352"/>
      <c r="K158" s="179"/>
      <c r="L158" s="43"/>
      <c r="M158" s="43"/>
      <c r="N158" s="179"/>
      <c r="O158" s="179"/>
      <c r="P158" s="43"/>
      <c r="Q158" s="43"/>
      <c r="R158" s="137"/>
      <c r="S158" s="137"/>
      <c r="T158" s="43"/>
      <c r="U158" s="43"/>
      <c r="V158" s="179"/>
      <c r="W158" s="179"/>
      <c r="X158" s="43"/>
      <c r="Y158" s="43"/>
      <c r="Z158" s="43"/>
      <c r="AA158" s="143"/>
      <c r="AB158" s="143"/>
      <c r="AC158" s="43"/>
      <c r="AD158" s="43"/>
      <c r="AE158" s="179"/>
      <c r="AF158" s="179"/>
      <c r="AG158" s="43">
        <v>1.5</v>
      </c>
      <c r="AH158" s="43">
        <v>1.5</v>
      </c>
      <c r="AI158" s="143"/>
      <c r="AJ158" s="143"/>
      <c r="AK158" s="43">
        <v>1.5</v>
      </c>
      <c r="AL158" s="43">
        <v>3</v>
      </c>
      <c r="AM158" s="179"/>
      <c r="AN158" s="179"/>
      <c r="AO158" s="43">
        <v>3</v>
      </c>
      <c r="AP158" s="43"/>
      <c r="AQ158" s="143"/>
      <c r="AR158" s="143"/>
      <c r="AS158" s="43"/>
      <c r="AT158" s="43"/>
      <c r="AU158" s="179"/>
      <c r="AV158" s="179"/>
      <c r="AW158" s="179"/>
      <c r="AX158" s="179"/>
      <c r="AY158" s="179"/>
      <c r="AZ158" s="43"/>
      <c r="BA158" s="179"/>
      <c r="BB158" s="247"/>
      <c r="BC158" s="344"/>
      <c r="BD158" s="345"/>
    </row>
    <row r="159" spans="1:56" ht="15.75" thickBot="1">
      <c r="A159" s="370"/>
      <c r="B159" s="355"/>
      <c r="C159" s="355"/>
      <c r="D159" s="46">
        <f t="shared" si="7"/>
        <v>4</v>
      </c>
      <c r="E159" s="46">
        <v>1</v>
      </c>
      <c r="F159" s="46" t="s">
        <v>39</v>
      </c>
      <c r="G159" s="46">
        <v>15</v>
      </c>
      <c r="H159" s="46">
        <f t="shared" si="9"/>
        <v>0</v>
      </c>
      <c r="I159" s="46">
        <v>19</v>
      </c>
      <c r="J159" s="355"/>
      <c r="K159" s="180"/>
      <c r="L159" s="46"/>
      <c r="M159" s="46"/>
      <c r="N159" s="180"/>
      <c r="O159" s="180"/>
      <c r="P159" s="46"/>
      <c r="Q159" s="46"/>
      <c r="R159" s="138"/>
      <c r="S159" s="138"/>
      <c r="T159" s="46"/>
      <c r="U159" s="46"/>
      <c r="V159" s="180"/>
      <c r="W159" s="180"/>
      <c r="X159" s="46"/>
      <c r="Y159" s="46"/>
      <c r="Z159" s="46"/>
      <c r="AA159" s="144"/>
      <c r="AB159" s="144"/>
      <c r="AC159" s="46"/>
      <c r="AD159" s="46"/>
      <c r="AE159" s="180"/>
      <c r="AF159" s="180"/>
      <c r="AG159" s="46"/>
      <c r="AH159" s="46"/>
      <c r="AI159" s="144"/>
      <c r="AJ159" s="144"/>
      <c r="AK159" s="46"/>
      <c r="AL159" s="46"/>
      <c r="AM159" s="180"/>
      <c r="AN159" s="180"/>
      <c r="AO159" s="46"/>
      <c r="AP159" s="46">
        <v>3</v>
      </c>
      <c r="AQ159" s="144"/>
      <c r="AR159" s="144"/>
      <c r="AS159" s="46">
        <v>3</v>
      </c>
      <c r="AT159" s="46">
        <v>3</v>
      </c>
      <c r="AU159" s="180"/>
      <c r="AV159" s="180"/>
      <c r="AW159" s="180"/>
      <c r="AX159" s="180"/>
      <c r="AY159" s="180"/>
      <c r="AZ159" s="46">
        <v>6</v>
      </c>
      <c r="BA159" s="180"/>
      <c r="BB159" s="248"/>
      <c r="BC159" s="323"/>
      <c r="BD159" s="324"/>
    </row>
    <row r="160" spans="1:56" ht="15.75" thickTop="1">
      <c r="A160" s="368" t="s">
        <v>216</v>
      </c>
      <c r="B160" s="351" t="s">
        <v>217</v>
      </c>
      <c r="C160" s="351" t="s">
        <v>73</v>
      </c>
      <c r="D160" s="45">
        <f t="shared" si="7"/>
        <v>1</v>
      </c>
      <c r="E160" s="45">
        <v>0</v>
      </c>
      <c r="F160" s="45" t="s">
        <v>33</v>
      </c>
      <c r="G160" s="45">
        <v>1.5</v>
      </c>
      <c r="H160" s="45">
        <f t="shared" si="9"/>
        <v>0</v>
      </c>
      <c r="I160" s="47" t="s">
        <v>34</v>
      </c>
      <c r="J160" s="363" t="s">
        <v>35</v>
      </c>
      <c r="K160" s="178"/>
      <c r="L160" s="45"/>
      <c r="M160" s="45"/>
      <c r="N160" s="178"/>
      <c r="O160" s="178"/>
      <c r="P160" s="45"/>
      <c r="Q160" s="45"/>
      <c r="R160" s="136"/>
      <c r="S160" s="136"/>
      <c r="T160" s="45"/>
      <c r="U160" s="45"/>
      <c r="V160" s="178"/>
      <c r="W160" s="178"/>
      <c r="X160" s="45"/>
      <c r="Y160" s="45"/>
      <c r="Z160" s="45"/>
      <c r="AA160" s="142"/>
      <c r="AB160" s="142"/>
      <c r="AC160" s="45"/>
      <c r="AD160" s="45"/>
      <c r="AE160" s="178"/>
      <c r="AF160" s="178"/>
      <c r="AG160" s="45"/>
      <c r="AH160" s="45">
        <v>1.5</v>
      </c>
      <c r="AI160" s="142"/>
      <c r="AJ160" s="142"/>
      <c r="AK160" s="45"/>
      <c r="AL160" s="45"/>
      <c r="AM160" s="178"/>
      <c r="AN160" s="178"/>
      <c r="AO160" s="153"/>
      <c r="AP160" s="153"/>
      <c r="AQ160" s="154"/>
      <c r="AR160" s="154"/>
      <c r="AS160" s="153"/>
      <c r="AT160" s="153"/>
      <c r="AU160" s="153"/>
      <c r="AV160" s="153"/>
      <c r="AW160" s="153"/>
      <c r="AX160" s="153"/>
      <c r="AY160" s="153"/>
      <c r="AZ160" s="153"/>
      <c r="BA160" s="153"/>
      <c r="BB160" s="155"/>
      <c r="BC160" s="321"/>
      <c r="BD160" s="322"/>
    </row>
    <row r="161" spans="1:56" ht="15.75" thickBot="1">
      <c r="A161" s="369"/>
      <c r="B161" s="352"/>
      <c r="C161" s="352"/>
      <c r="D161" s="43">
        <f t="shared" si="7"/>
        <v>4</v>
      </c>
      <c r="E161" s="43">
        <v>0</v>
      </c>
      <c r="F161" s="43" t="s">
        <v>39</v>
      </c>
      <c r="G161" s="43">
        <v>10</v>
      </c>
      <c r="H161" s="43">
        <f t="shared" si="9"/>
        <v>-2</v>
      </c>
      <c r="I161" s="42">
        <v>124</v>
      </c>
      <c r="J161" s="364"/>
      <c r="K161" s="241"/>
      <c r="L161" s="221"/>
      <c r="M161" s="221"/>
      <c r="N161" s="241"/>
      <c r="O161" s="241"/>
      <c r="P161" s="221"/>
      <c r="Q161" s="221"/>
      <c r="R161" s="242"/>
      <c r="S161" s="242"/>
      <c r="T161" s="221"/>
      <c r="U161" s="221"/>
      <c r="V161" s="241"/>
      <c r="W161" s="241"/>
      <c r="X161" s="221"/>
      <c r="Y161" s="221"/>
      <c r="Z161" s="221"/>
      <c r="AA161" s="243"/>
      <c r="AB161" s="243"/>
      <c r="AC161" s="221"/>
      <c r="AD161" s="221"/>
      <c r="AE161" s="241"/>
      <c r="AF161" s="241"/>
      <c r="AG161" s="221"/>
      <c r="AH161" s="221"/>
      <c r="AI161" s="243"/>
      <c r="AJ161" s="243"/>
      <c r="AK161" s="221">
        <v>2</v>
      </c>
      <c r="AL161" s="221">
        <v>4</v>
      </c>
      <c r="AM161" s="241">
        <v>2</v>
      </c>
      <c r="AN161" s="241">
        <v>4</v>
      </c>
      <c r="AO161" s="244"/>
      <c r="AP161" s="244"/>
      <c r="AQ161" s="250"/>
      <c r="AR161" s="250"/>
      <c r="AS161" s="244"/>
      <c r="AT161" s="244"/>
      <c r="AU161" s="244"/>
      <c r="AV161" s="244"/>
      <c r="AW161" s="244"/>
      <c r="AX161" s="244"/>
      <c r="AY161" s="244"/>
      <c r="AZ161" s="244"/>
      <c r="BA161" s="244"/>
      <c r="BB161" s="245"/>
      <c r="BC161" s="346"/>
      <c r="BD161" s="347"/>
    </row>
    <row r="162" spans="1:56">
      <c r="A162" s="369"/>
      <c r="B162" s="352"/>
      <c r="C162" s="352"/>
      <c r="D162" s="43">
        <f t="shared" si="7"/>
        <v>1</v>
      </c>
      <c r="E162" s="43">
        <v>1</v>
      </c>
      <c r="F162" s="43" t="s">
        <v>33</v>
      </c>
      <c r="G162" s="43">
        <v>1.5</v>
      </c>
      <c r="H162" s="43">
        <f t="shared" si="9"/>
        <v>0</v>
      </c>
      <c r="I162" s="41" t="s">
        <v>34</v>
      </c>
      <c r="J162" s="349" t="s">
        <v>37</v>
      </c>
      <c r="K162" s="238"/>
      <c r="L162" s="42"/>
      <c r="M162" s="42"/>
      <c r="N162" s="238"/>
      <c r="O162" s="238"/>
      <c r="P162" s="42"/>
      <c r="Q162" s="42"/>
      <c r="R162" s="239"/>
      <c r="S162" s="239"/>
      <c r="T162" s="42"/>
      <c r="U162" s="42"/>
      <c r="V162" s="238"/>
      <c r="W162" s="238"/>
      <c r="X162" s="42"/>
      <c r="Y162" s="42"/>
      <c r="Z162" s="42"/>
      <c r="AA162" s="240"/>
      <c r="AB162" s="240"/>
      <c r="AC162" s="42"/>
      <c r="AD162" s="42"/>
      <c r="AE162" s="238"/>
      <c r="AF162" s="238"/>
      <c r="AG162" s="42"/>
      <c r="AH162" s="42">
        <v>1.5</v>
      </c>
      <c r="AI162" s="240"/>
      <c r="AJ162" s="240"/>
      <c r="AK162" s="42"/>
      <c r="AL162" s="42"/>
      <c r="AM162" s="238"/>
      <c r="AN162" s="238"/>
      <c r="AO162" s="42"/>
      <c r="AP162" s="42"/>
      <c r="AQ162" s="240"/>
      <c r="AR162" s="240"/>
      <c r="AS162" s="42"/>
      <c r="AT162" s="42"/>
      <c r="AU162" s="238"/>
      <c r="AV162" s="238"/>
      <c r="AW162" s="238"/>
      <c r="AX162" s="238"/>
      <c r="AY162" s="238"/>
      <c r="AZ162" s="42"/>
      <c r="BA162" s="238"/>
      <c r="BB162" s="246"/>
      <c r="BC162" s="356"/>
      <c r="BD162" s="357"/>
    </row>
    <row r="163" spans="1:56" ht="15.75" thickBot="1">
      <c r="A163" s="370"/>
      <c r="B163" s="355"/>
      <c r="C163" s="355"/>
      <c r="D163" s="46">
        <f t="shared" si="7"/>
        <v>6</v>
      </c>
      <c r="E163" s="46">
        <v>1</v>
      </c>
      <c r="F163" s="48" t="s">
        <v>39</v>
      </c>
      <c r="G163" s="46">
        <v>10</v>
      </c>
      <c r="H163" s="46">
        <f t="shared" si="9"/>
        <v>-6</v>
      </c>
      <c r="I163" s="48">
        <v>124</v>
      </c>
      <c r="J163" s="350"/>
      <c r="K163" s="180"/>
      <c r="L163" s="46"/>
      <c r="M163" s="46"/>
      <c r="N163" s="180"/>
      <c r="O163" s="180"/>
      <c r="P163" s="46"/>
      <c r="Q163" s="46"/>
      <c r="R163" s="138"/>
      <c r="S163" s="138"/>
      <c r="T163" s="46"/>
      <c r="U163" s="46"/>
      <c r="V163" s="180"/>
      <c r="W163" s="180"/>
      <c r="X163" s="46"/>
      <c r="Y163" s="46"/>
      <c r="Z163" s="46"/>
      <c r="AA163" s="144"/>
      <c r="AB163" s="144"/>
      <c r="AC163" s="46"/>
      <c r="AD163" s="46"/>
      <c r="AE163" s="180"/>
      <c r="AF163" s="180"/>
      <c r="AG163" s="46"/>
      <c r="AH163" s="46"/>
      <c r="AI163" s="144"/>
      <c r="AJ163" s="144"/>
      <c r="AK163" s="46">
        <v>2</v>
      </c>
      <c r="AL163" s="46">
        <v>2</v>
      </c>
      <c r="AM163" s="180"/>
      <c r="AN163" s="180"/>
      <c r="AO163" s="46">
        <v>2</v>
      </c>
      <c r="AP163" s="46"/>
      <c r="AQ163" s="144"/>
      <c r="AR163" s="144"/>
      <c r="AS163" s="46">
        <v>2</v>
      </c>
      <c r="AT163" s="46">
        <v>4</v>
      </c>
      <c r="AU163" s="180"/>
      <c r="AV163" s="180"/>
      <c r="AW163" s="180"/>
      <c r="AX163" s="180"/>
      <c r="AY163" s="180"/>
      <c r="AZ163" s="46">
        <v>4</v>
      </c>
      <c r="BA163" s="180"/>
      <c r="BB163" s="248"/>
      <c r="BC163" s="323"/>
      <c r="BD163" s="324"/>
    </row>
    <row r="164" spans="1:56" ht="15.75" thickTop="1">
      <c r="A164" s="358" t="s">
        <v>218</v>
      </c>
      <c r="B164" s="319" t="s">
        <v>219</v>
      </c>
      <c r="C164" s="319" t="s">
        <v>75</v>
      </c>
      <c r="D164" s="50">
        <f t="shared" si="7"/>
        <v>3</v>
      </c>
      <c r="E164" s="50">
        <v>0</v>
      </c>
      <c r="F164" s="45" t="s">
        <v>33</v>
      </c>
      <c r="G164" s="50">
        <v>4.5</v>
      </c>
      <c r="H164" s="45">
        <f t="shared" si="9"/>
        <v>0</v>
      </c>
      <c r="I164" s="45" t="s">
        <v>34</v>
      </c>
      <c r="J164" s="351" t="s">
        <v>35</v>
      </c>
      <c r="K164" s="178"/>
      <c r="L164" s="45"/>
      <c r="M164" s="45"/>
      <c r="N164" s="178"/>
      <c r="O164" s="178"/>
      <c r="P164" s="45"/>
      <c r="Q164" s="45"/>
      <c r="R164" s="136"/>
      <c r="S164" s="136"/>
      <c r="T164" s="45"/>
      <c r="U164" s="45"/>
      <c r="V164" s="178"/>
      <c r="W164" s="178"/>
      <c r="X164" s="45"/>
      <c r="Y164" s="45"/>
      <c r="Z164" s="45"/>
      <c r="AA164" s="142"/>
      <c r="AB164" s="142"/>
      <c r="AC164" s="45"/>
      <c r="AD164" s="45"/>
      <c r="AE164" s="178"/>
      <c r="AF164" s="178"/>
      <c r="AG164" s="45">
        <v>1.5</v>
      </c>
      <c r="AH164" s="45">
        <v>1.5</v>
      </c>
      <c r="AI164" s="142"/>
      <c r="AJ164" s="142"/>
      <c r="AK164" s="45">
        <v>1.5</v>
      </c>
      <c r="AL164" s="45"/>
      <c r="AM164" s="178"/>
      <c r="AN164" s="178"/>
      <c r="AO164" s="154"/>
      <c r="AP164" s="154"/>
      <c r="AQ164" s="154"/>
      <c r="AR164" s="154"/>
      <c r="AS164" s="154"/>
      <c r="AT164" s="154"/>
      <c r="AU164" s="154"/>
      <c r="AV164" s="154"/>
      <c r="AW164" s="154"/>
      <c r="AX164" s="154"/>
      <c r="AY164" s="154"/>
      <c r="AZ164" s="154"/>
      <c r="BA164" s="154"/>
      <c r="BB164" s="251"/>
      <c r="BC164" s="321"/>
      <c r="BD164" s="322"/>
    </row>
    <row r="165" spans="1:56">
      <c r="A165" s="359"/>
      <c r="B165" s="348"/>
      <c r="C165" s="348"/>
      <c r="D165" s="49">
        <f t="shared" si="7"/>
        <v>3</v>
      </c>
      <c r="E165" s="49">
        <v>0</v>
      </c>
      <c r="F165" s="43" t="s">
        <v>36</v>
      </c>
      <c r="G165" s="49">
        <v>4.5</v>
      </c>
      <c r="H165" s="43">
        <f t="shared" si="9"/>
        <v>0</v>
      </c>
      <c r="I165" s="43" t="s">
        <v>34</v>
      </c>
      <c r="J165" s="352"/>
      <c r="K165" s="179"/>
      <c r="L165" s="43"/>
      <c r="M165" s="43"/>
      <c r="N165" s="179"/>
      <c r="O165" s="179"/>
      <c r="P165" s="43"/>
      <c r="Q165" s="43"/>
      <c r="R165" s="137"/>
      <c r="S165" s="137"/>
      <c r="T165" s="43"/>
      <c r="U165" s="43"/>
      <c r="V165" s="179"/>
      <c r="W165" s="179"/>
      <c r="X165" s="43"/>
      <c r="Y165" s="43"/>
      <c r="Z165" s="43"/>
      <c r="AA165" s="143"/>
      <c r="AB165" s="143"/>
      <c r="AC165" s="43"/>
      <c r="AD165" s="43"/>
      <c r="AE165" s="179"/>
      <c r="AF165" s="179"/>
      <c r="AG165" s="43"/>
      <c r="AH165" s="43"/>
      <c r="AI165" s="143"/>
      <c r="AJ165" s="143"/>
      <c r="AK165" s="43">
        <v>1.5</v>
      </c>
      <c r="AL165" s="43">
        <v>1.5</v>
      </c>
      <c r="AM165" s="179">
        <v>1.5</v>
      </c>
      <c r="AN165" s="179"/>
      <c r="AO165" s="157"/>
      <c r="AP165" s="157"/>
      <c r="AQ165" s="157"/>
      <c r="AR165" s="157"/>
      <c r="AS165" s="157"/>
      <c r="AT165" s="157"/>
      <c r="AU165" s="157"/>
      <c r="AV165" s="157"/>
      <c r="AW165" s="157"/>
      <c r="AX165" s="157"/>
      <c r="AY165" s="157"/>
      <c r="AZ165" s="157"/>
      <c r="BA165" s="157"/>
      <c r="BB165" s="252"/>
      <c r="BC165" s="344"/>
      <c r="BD165" s="345"/>
    </row>
    <row r="166" spans="1:56" ht="15.75" thickBot="1">
      <c r="A166" s="359"/>
      <c r="B166" s="348"/>
      <c r="C166" s="348"/>
      <c r="D166" s="49">
        <f t="shared" si="7"/>
        <v>1</v>
      </c>
      <c r="E166" s="49">
        <v>0</v>
      </c>
      <c r="F166" s="43" t="s">
        <v>39</v>
      </c>
      <c r="G166" s="49">
        <v>2</v>
      </c>
      <c r="H166" s="43">
        <f t="shared" si="9"/>
        <v>0</v>
      </c>
      <c r="I166" s="41" t="s">
        <v>34</v>
      </c>
      <c r="J166" s="353"/>
      <c r="K166" s="241"/>
      <c r="L166" s="221"/>
      <c r="M166" s="221"/>
      <c r="N166" s="241"/>
      <c r="O166" s="241"/>
      <c r="P166" s="221"/>
      <c r="Q166" s="221"/>
      <c r="R166" s="242"/>
      <c r="S166" s="242"/>
      <c r="T166" s="221"/>
      <c r="U166" s="221"/>
      <c r="V166" s="241"/>
      <c r="W166" s="241"/>
      <c r="X166" s="221"/>
      <c r="Y166" s="221"/>
      <c r="Z166" s="221"/>
      <c r="AA166" s="243"/>
      <c r="AB166" s="243"/>
      <c r="AC166" s="221"/>
      <c r="AD166" s="221"/>
      <c r="AE166" s="241"/>
      <c r="AF166" s="241"/>
      <c r="AG166" s="221"/>
      <c r="AH166" s="221"/>
      <c r="AI166" s="243"/>
      <c r="AJ166" s="243"/>
      <c r="AK166" s="221"/>
      <c r="AL166" s="221"/>
      <c r="AM166" s="241"/>
      <c r="AN166" s="241">
        <v>2</v>
      </c>
      <c r="AO166" s="250"/>
      <c r="AP166" s="250"/>
      <c r="AQ166" s="250"/>
      <c r="AR166" s="250"/>
      <c r="AS166" s="250"/>
      <c r="AT166" s="250"/>
      <c r="AU166" s="250"/>
      <c r="AV166" s="250"/>
      <c r="AW166" s="250"/>
      <c r="AX166" s="250"/>
      <c r="AY166" s="250"/>
      <c r="AZ166" s="250"/>
      <c r="BA166" s="250"/>
      <c r="BB166" s="253"/>
      <c r="BC166" s="346"/>
      <c r="BD166" s="347"/>
    </row>
    <row r="167" spans="1:56">
      <c r="A167" s="359"/>
      <c r="B167" s="348"/>
      <c r="C167" s="348"/>
      <c r="D167" s="49">
        <f t="shared" si="7"/>
        <v>3</v>
      </c>
      <c r="E167" s="49">
        <v>1</v>
      </c>
      <c r="F167" s="43" t="s">
        <v>33</v>
      </c>
      <c r="G167" s="49">
        <v>4.5</v>
      </c>
      <c r="H167" s="43">
        <f t="shared" si="9"/>
        <v>0</v>
      </c>
      <c r="I167" s="42" t="s">
        <v>34</v>
      </c>
      <c r="J167" s="354" t="s">
        <v>37</v>
      </c>
      <c r="K167" s="238"/>
      <c r="L167" s="42"/>
      <c r="M167" s="42"/>
      <c r="N167" s="238"/>
      <c r="O167" s="238"/>
      <c r="P167" s="42"/>
      <c r="Q167" s="42"/>
      <c r="R167" s="239"/>
      <c r="S167" s="239"/>
      <c r="T167" s="42"/>
      <c r="U167" s="42"/>
      <c r="V167" s="238"/>
      <c r="W167" s="238"/>
      <c r="X167" s="42"/>
      <c r="Y167" s="42"/>
      <c r="Z167" s="42"/>
      <c r="AA167" s="240"/>
      <c r="AB167" s="240"/>
      <c r="AC167" s="42"/>
      <c r="AD167" s="42"/>
      <c r="AE167" s="238"/>
      <c r="AF167" s="238"/>
      <c r="AG167" s="42"/>
      <c r="AH167" s="42"/>
      <c r="AI167" s="240"/>
      <c r="AJ167" s="240"/>
      <c r="AK167" s="42">
        <v>1.5</v>
      </c>
      <c r="AL167" s="42">
        <v>1.5</v>
      </c>
      <c r="AM167" s="238"/>
      <c r="AN167" s="238"/>
      <c r="AO167" s="42">
        <v>1.5</v>
      </c>
      <c r="AP167" s="42"/>
      <c r="AQ167" s="240"/>
      <c r="AR167" s="240"/>
      <c r="AS167" s="42"/>
      <c r="AT167" s="42"/>
      <c r="AU167" s="238"/>
      <c r="AV167" s="238"/>
      <c r="AW167" s="238"/>
      <c r="AX167" s="238"/>
      <c r="AY167" s="238"/>
      <c r="AZ167" s="42"/>
      <c r="BA167" s="238"/>
      <c r="BB167" s="246"/>
      <c r="BC167" s="356"/>
      <c r="BD167" s="357"/>
    </row>
    <row r="168" spans="1:56">
      <c r="A168" s="359"/>
      <c r="B168" s="348"/>
      <c r="C168" s="348"/>
      <c r="D168" s="49">
        <f t="shared" si="7"/>
        <v>3</v>
      </c>
      <c r="E168" s="49">
        <v>1</v>
      </c>
      <c r="F168" s="43" t="s">
        <v>36</v>
      </c>
      <c r="G168" s="49">
        <v>4.5</v>
      </c>
      <c r="H168" s="43">
        <f t="shared" si="9"/>
        <v>0</v>
      </c>
      <c r="I168" s="43" t="s">
        <v>34</v>
      </c>
      <c r="J168" s="352"/>
      <c r="K168" s="179"/>
      <c r="L168" s="43"/>
      <c r="M168" s="43"/>
      <c r="N168" s="179"/>
      <c r="O168" s="179"/>
      <c r="P168" s="43"/>
      <c r="Q168" s="43"/>
      <c r="R168" s="137"/>
      <c r="S168" s="137"/>
      <c r="T168" s="43"/>
      <c r="U168" s="43"/>
      <c r="V168" s="179"/>
      <c r="W168" s="179"/>
      <c r="X168" s="43"/>
      <c r="Y168" s="43"/>
      <c r="Z168" s="43"/>
      <c r="AA168" s="143"/>
      <c r="AB168" s="143"/>
      <c r="AC168" s="43"/>
      <c r="AD168" s="43"/>
      <c r="AE168" s="179"/>
      <c r="AF168" s="179"/>
      <c r="AG168" s="43"/>
      <c r="AH168" s="43"/>
      <c r="AI168" s="143"/>
      <c r="AJ168" s="143"/>
      <c r="AK168" s="43"/>
      <c r="AL168" s="43"/>
      <c r="AM168" s="179"/>
      <c r="AN168" s="179"/>
      <c r="AO168" s="43"/>
      <c r="AP168" s="43">
        <v>1.5</v>
      </c>
      <c r="AQ168" s="137"/>
      <c r="AR168" s="137"/>
      <c r="AS168" s="43">
        <v>1.5</v>
      </c>
      <c r="AT168" s="43">
        <v>1.5</v>
      </c>
      <c r="AU168" s="179"/>
      <c r="AV168" s="179"/>
      <c r="AW168" s="179"/>
      <c r="AX168" s="179"/>
      <c r="AY168" s="179"/>
      <c r="AZ168" s="43"/>
      <c r="BA168" s="179"/>
      <c r="BB168" s="247"/>
      <c r="BC168" s="344"/>
      <c r="BD168" s="345"/>
    </row>
    <row r="169" spans="1:56" ht="15.75" thickBot="1">
      <c r="A169" s="360"/>
      <c r="B169" s="320"/>
      <c r="C169" s="320"/>
      <c r="D169" s="51">
        <f t="shared" si="7"/>
        <v>1</v>
      </c>
      <c r="E169" s="51">
        <v>1</v>
      </c>
      <c r="F169" s="46" t="s">
        <v>39</v>
      </c>
      <c r="G169" s="51">
        <v>2</v>
      </c>
      <c r="H169" s="46">
        <f t="shared" si="9"/>
        <v>0</v>
      </c>
      <c r="I169" s="46" t="s">
        <v>34</v>
      </c>
      <c r="J169" s="355"/>
      <c r="K169" s="180"/>
      <c r="L169" s="46"/>
      <c r="M169" s="46"/>
      <c r="N169" s="180"/>
      <c r="O169" s="180"/>
      <c r="P169" s="46"/>
      <c r="Q169" s="46"/>
      <c r="R169" s="138"/>
      <c r="S169" s="138"/>
      <c r="T169" s="46"/>
      <c r="U169" s="46"/>
      <c r="V169" s="180"/>
      <c r="W169" s="180"/>
      <c r="X169" s="46"/>
      <c r="Y169" s="46"/>
      <c r="Z169" s="46"/>
      <c r="AA169" s="144"/>
      <c r="AB169" s="144"/>
      <c r="AC169" s="46"/>
      <c r="AD169" s="46"/>
      <c r="AE169" s="180"/>
      <c r="AF169" s="180"/>
      <c r="AG169" s="46"/>
      <c r="AH169" s="46"/>
      <c r="AI169" s="144"/>
      <c r="AJ169" s="144"/>
      <c r="AK169" s="46"/>
      <c r="AL169" s="46"/>
      <c r="AM169" s="180"/>
      <c r="AN169" s="180"/>
      <c r="AO169" s="46"/>
      <c r="AP169" s="46"/>
      <c r="AQ169" s="138"/>
      <c r="AR169" s="138"/>
      <c r="AS169" s="46"/>
      <c r="AT169" s="46"/>
      <c r="AU169" s="180"/>
      <c r="AV169" s="180"/>
      <c r="AW169" s="180"/>
      <c r="AX169" s="180"/>
      <c r="AY169" s="180"/>
      <c r="AZ169" s="46">
        <v>2</v>
      </c>
      <c r="BA169" s="180"/>
      <c r="BB169" s="248"/>
      <c r="BC169" s="323"/>
      <c r="BD169" s="324"/>
    </row>
    <row r="170" spans="1:56" ht="15.75" thickTop="1">
      <c r="A170" s="358" t="s">
        <v>220</v>
      </c>
      <c r="B170" s="319" t="s">
        <v>221</v>
      </c>
      <c r="C170" s="319" t="s">
        <v>70</v>
      </c>
      <c r="D170" s="50">
        <f t="shared" si="7"/>
        <v>8</v>
      </c>
      <c r="E170" s="50">
        <v>0</v>
      </c>
      <c r="F170" s="45" t="s">
        <v>36</v>
      </c>
      <c r="G170" s="50">
        <v>12</v>
      </c>
      <c r="H170" s="45">
        <f t="shared" si="9"/>
        <v>0</v>
      </c>
      <c r="I170" s="45" t="s">
        <v>34</v>
      </c>
      <c r="J170" s="351" t="s">
        <v>35</v>
      </c>
      <c r="K170" s="178"/>
      <c r="L170" s="45"/>
      <c r="M170" s="45"/>
      <c r="N170" s="178"/>
      <c r="O170" s="178"/>
      <c r="P170" s="45"/>
      <c r="Q170" s="45"/>
      <c r="R170" s="136"/>
      <c r="S170" s="136"/>
      <c r="T170" s="45"/>
      <c r="U170" s="45"/>
      <c r="V170" s="178"/>
      <c r="W170" s="178"/>
      <c r="X170" s="45"/>
      <c r="Y170" s="45"/>
      <c r="Z170" s="45"/>
      <c r="AA170" s="142"/>
      <c r="AB170" s="142"/>
      <c r="AC170" s="45"/>
      <c r="AD170" s="45"/>
      <c r="AE170" s="178">
        <v>1.5</v>
      </c>
      <c r="AF170" s="178">
        <v>1.5</v>
      </c>
      <c r="AG170" s="45">
        <v>1.5</v>
      </c>
      <c r="AH170" s="45">
        <v>1.5</v>
      </c>
      <c r="AI170" s="142"/>
      <c r="AJ170" s="142"/>
      <c r="AK170" s="45">
        <v>1.5</v>
      </c>
      <c r="AL170" s="45">
        <v>1.5</v>
      </c>
      <c r="AM170" s="178">
        <v>1.5</v>
      </c>
      <c r="AN170" s="178">
        <v>1.5</v>
      </c>
      <c r="AO170" s="153"/>
      <c r="AP170" s="153"/>
      <c r="AQ170" s="153"/>
      <c r="AR170" s="153"/>
      <c r="AS170" s="153"/>
      <c r="AT170" s="153"/>
      <c r="AU170" s="153"/>
      <c r="AV170" s="153"/>
      <c r="AW170" s="153"/>
      <c r="AX170" s="153"/>
      <c r="AY170" s="153"/>
      <c r="AZ170" s="153"/>
      <c r="BA170" s="153"/>
      <c r="BB170" s="155"/>
      <c r="BC170" s="321"/>
      <c r="BD170" s="322"/>
    </row>
    <row r="171" spans="1:56" ht="15.75" thickBot="1">
      <c r="A171" s="359"/>
      <c r="B171" s="348"/>
      <c r="C171" s="348"/>
      <c r="D171" s="49">
        <f t="shared" si="7"/>
        <v>2</v>
      </c>
      <c r="E171" s="49">
        <v>0</v>
      </c>
      <c r="F171" s="49" t="s">
        <v>39</v>
      </c>
      <c r="G171" s="49">
        <v>3</v>
      </c>
      <c r="H171" s="43">
        <f t="shared" si="9"/>
        <v>0</v>
      </c>
      <c r="I171" s="41" t="s">
        <v>34</v>
      </c>
      <c r="J171" s="353"/>
      <c r="K171" s="241"/>
      <c r="L171" s="221"/>
      <c r="M171" s="221"/>
      <c r="N171" s="241"/>
      <c r="O171" s="241"/>
      <c r="P171" s="221"/>
      <c r="Q171" s="221"/>
      <c r="R171" s="242"/>
      <c r="S171" s="242"/>
      <c r="T171" s="221"/>
      <c r="U171" s="221"/>
      <c r="V171" s="241"/>
      <c r="W171" s="241"/>
      <c r="X171" s="221"/>
      <c r="Y171" s="221"/>
      <c r="Z171" s="221"/>
      <c r="AA171" s="243"/>
      <c r="AB171" s="243"/>
      <c r="AC171" s="221"/>
      <c r="AD171" s="221"/>
      <c r="AE171" s="241"/>
      <c r="AF171" s="241">
        <v>1.5</v>
      </c>
      <c r="AG171" s="221">
        <v>1.5</v>
      </c>
      <c r="AH171" s="221"/>
      <c r="AI171" s="243"/>
      <c r="AJ171" s="243"/>
      <c r="AK171" s="221"/>
      <c r="AL171" s="221"/>
      <c r="AM171" s="241"/>
      <c r="AN171" s="241"/>
      <c r="AO171" s="244"/>
      <c r="AP171" s="244"/>
      <c r="AQ171" s="250"/>
      <c r="AR171" s="250"/>
      <c r="AS171" s="244"/>
      <c r="AT171" s="244"/>
      <c r="AU171" s="244"/>
      <c r="AV171" s="244"/>
      <c r="AW171" s="244"/>
      <c r="AX171" s="244"/>
      <c r="AY171" s="244"/>
      <c r="AZ171" s="244"/>
      <c r="BA171" s="244"/>
      <c r="BB171" s="245"/>
      <c r="BC171" s="346"/>
      <c r="BD171" s="347"/>
    </row>
    <row r="172" spans="1:56">
      <c r="A172" s="359"/>
      <c r="B172" s="348"/>
      <c r="C172" s="348"/>
      <c r="D172" s="49">
        <f t="shared" si="7"/>
        <v>8</v>
      </c>
      <c r="E172" s="49">
        <v>1</v>
      </c>
      <c r="F172" s="49" t="s">
        <v>36</v>
      </c>
      <c r="G172" s="49">
        <v>12</v>
      </c>
      <c r="H172" s="43">
        <f t="shared" si="9"/>
        <v>0</v>
      </c>
      <c r="I172" s="43" t="s">
        <v>34</v>
      </c>
      <c r="J172" s="354" t="s">
        <v>37</v>
      </c>
      <c r="K172" s="238"/>
      <c r="L172" s="42"/>
      <c r="M172" s="42"/>
      <c r="N172" s="238"/>
      <c r="O172" s="238"/>
      <c r="P172" s="42"/>
      <c r="Q172" s="42"/>
      <c r="R172" s="239"/>
      <c r="S172" s="239"/>
      <c r="T172" s="42"/>
      <c r="U172" s="42"/>
      <c r="V172" s="238"/>
      <c r="W172" s="238"/>
      <c r="X172" s="42"/>
      <c r="Y172" s="42"/>
      <c r="Z172" s="42"/>
      <c r="AA172" s="240"/>
      <c r="AB172" s="240"/>
      <c r="AC172" s="42"/>
      <c r="AD172" s="42"/>
      <c r="AE172" s="238"/>
      <c r="AF172" s="238"/>
      <c r="AG172" s="42">
        <v>1.5</v>
      </c>
      <c r="AH172" s="42">
        <v>1.5</v>
      </c>
      <c r="AI172" s="240"/>
      <c r="AJ172" s="240"/>
      <c r="AK172" s="42">
        <v>1.5</v>
      </c>
      <c r="AL172" s="42">
        <v>1.5</v>
      </c>
      <c r="AM172" s="238"/>
      <c r="AN172" s="238"/>
      <c r="AO172" s="42">
        <v>1.5</v>
      </c>
      <c r="AP172" s="42">
        <v>1.5</v>
      </c>
      <c r="AQ172" s="240"/>
      <c r="AR172" s="240"/>
      <c r="AS172" s="42">
        <v>1.5</v>
      </c>
      <c r="AT172" s="42"/>
      <c r="AU172" s="238"/>
      <c r="AV172" s="238"/>
      <c r="AW172" s="238"/>
      <c r="AX172" s="238"/>
      <c r="AY172" s="238"/>
      <c r="AZ172" s="42">
        <v>1.5</v>
      </c>
      <c r="BA172" s="238"/>
      <c r="BB172" s="246"/>
      <c r="BC172" s="356"/>
      <c r="BD172" s="357"/>
    </row>
    <row r="173" spans="1:56" ht="15.75" thickBot="1">
      <c r="A173" s="360"/>
      <c r="B173" s="320"/>
      <c r="C173" s="320"/>
      <c r="D173" s="53">
        <f t="shared" si="7"/>
        <v>2</v>
      </c>
      <c r="E173" s="53">
        <v>1</v>
      </c>
      <c r="F173" s="53" t="s">
        <v>39</v>
      </c>
      <c r="G173" s="53">
        <v>3</v>
      </c>
      <c r="H173" s="48">
        <f t="shared" si="9"/>
        <v>0</v>
      </c>
      <c r="I173" s="48" t="s">
        <v>34</v>
      </c>
      <c r="J173" s="355"/>
      <c r="K173" s="180"/>
      <c r="L173" s="46"/>
      <c r="M173" s="46"/>
      <c r="N173" s="180"/>
      <c r="O173" s="180"/>
      <c r="P173" s="46"/>
      <c r="Q173" s="46"/>
      <c r="R173" s="138"/>
      <c r="S173" s="138"/>
      <c r="T173" s="46"/>
      <c r="U173" s="46"/>
      <c r="V173" s="180"/>
      <c r="W173" s="180"/>
      <c r="X173" s="46"/>
      <c r="Y173" s="46"/>
      <c r="Z173" s="46"/>
      <c r="AA173" s="144"/>
      <c r="AB173" s="144"/>
      <c r="AC173" s="46"/>
      <c r="AD173" s="46"/>
      <c r="AE173" s="180"/>
      <c r="AF173" s="180"/>
      <c r="AG173" s="46"/>
      <c r="AH173" s="46"/>
      <c r="AI173" s="144"/>
      <c r="AJ173" s="144"/>
      <c r="AK173" s="46"/>
      <c r="AL173" s="46"/>
      <c r="AM173" s="180"/>
      <c r="AN173" s="180"/>
      <c r="AO173" s="46"/>
      <c r="AP173" s="46"/>
      <c r="AQ173" s="144"/>
      <c r="AR173" s="144"/>
      <c r="AS173" s="46"/>
      <c r="AT173" s="46">
        <v>1.5</v>
      </c>
      <c r="AU173" s="180"/>
      <c r="AV173" s="180"/>
      <c r="AW173" s="180"/>
      <c r="AX173" s="180"/>
      <c r="AY173" s="180"/>
      <c r="AZ173" s="46">
        <v>1.5</v>
      </c>
      <c r="BA173" s="180"/>
      <c r="BB173" s="248"/>
      <c r="BC173" s="323"/>
      <c r="BD173" s="324"/>
    </row>
    <row r="174" spans="1:56" ht="15.75" thickTop="1">
      <c r="A174" s="358" t="s">
        <v>222</v>
      </c>
      <c r="B174" s="319" t="s">
        <v>223</v>
      </c>
      <c r="C174" s="319" t="s">
        <v>75</v>
      </c>
      <c r="D174" s="50">
        <f t="shared" si="7"/>
        <v>5</v>
      </c>
      <c r="E174" s="50">
        <v>0</v>
      </c>
      <c r="F174" s="50" t="s">
        <v>36</v>
      </c>
      <c r="G174" s="50">
        <v>10</v>
      </c>
      <c r="H174" s="45">
        <f t="shared" si="9"/>
        <v>0</v>
      </c>
      <c r="I174" s="45" t="s">
        <v>34</v>
      </c>
      <c r="J174" s="45" t="s">
        <v>35</v>
      </c>
      <c r="K174" s="178"/>
      <c r="L174" s="45"/>
      <c r="M174" s="45"/>
      <c r="N174" s="178"/>
      <c r="O174" s="178"/>
      <c r="P174" s="45"/>
      <c r="Q174" s="45"/>
      <c r="R174" s="136"/>
      <c r="S174" s="136"/>
      <c r="T174" s="45"/>
      <c r="U174" s="45"/>
      <c r="V174" s="178"/>
      <c r="W174" s="178"/>
      <c r="X174" s="45"/>
      <c r="Y174" s="45"/>
      <c r="Z174" s="45"/>
      <c r="AA174" s="142"/>
      <c r="AB174" s="142"/>
      <c r="AC174" s="45"/>
      <c r="AD174" s="45"/>
      <c r="AE174" s="178"/>
      <c r="AF174" s="178"/>
      <c r="AG174" s="45">
        <v>2</v>
      </c>
      <c r="AH174" s="45">
        <v>2</v>
      </c>
      <c r="AI174" s="142"/>
      <c r="AJ174" s="142"/>
      <c r="AK174" s="45">
        <v>2</v>
      </c>
      <c r="AL174" s="45">
        <v>2</v>
      </c>
      <c r="AM174" s="178">
        <v>2</v>
      </c>
      <c r="AN174" s="178"/>
      <c r="AO174" s="153"/>
      <c r="AP174" s="153"/>
      <c r="AQ174" s="136"/>
      <c r="AR174" s="136"/>
      <c r="AS174" s="153"/>
      <c r="AT174" s="153"/>
      <c r="AU174" s="153"/>
      <c r="AV174" s="153"/>
      <c r="AW174" s="153"/>
      <c r="AX174" s="153"/>
      <c r="AY174" s="153"/>
      <c r="AZ174" s="153"/>
      <c r="BA174" s="153"/>
      <c r="BB174" s="155"/>
      <c r="BC174" s="321"/>
      <c r="BD174" s="322"/>
    </row>
    <row r="175" spans="1:56" ht="15.75" thickBot="1">
      <c r="A175" s="360"/>
      <c r="B175" s="320"/>
      <c r="C175" s="320"/>
      <c r="D175" s="51">
        <f t="shared" si="7"/>
        <v>5</v>
      </c>
      <c r="E175" s="51">
        <v>1</v>
      </c>
      <c r="F175" s="51" t="s">
        <v>36</v>
      </c>
      <c r="G175" s="51">
        <v>10</v>
      </c>
      <c r="H175" s="46">
        <f t="shared" si="9"/>
        <v>0</v>
      </c>
      <c r="I175" s="46" t="s">
        <v>34</v>
      </c>
      <c r="J175" s="46" t="s">
        <v>37</v>
      </c>
      <c r="K175" s="180"/>
      <c r="L175" s="46"/>
      <c r="M175" s="46"/>
      <c r="N175" s="180"/>
      <c r="O175" s="180"/>
      <c r="P175" s="46"/>
      <c r="Q175" s="46"/>
      <c r="R175" s="138"/>
      <c r="S175" s="138"/>
      <c r="T175" s="46"/>
      <c r="U175" s="46"/>
      <c r="V175" s="180"/>
      <c r="W175" s="180"/>
      <c r="X175" s="46"/>
      <c r="Y175" s="46"/>
      <c r="Z175" s="46"/>
      <c r="AA175" s="144"/>
      <c r="AB175" s="144"/>
      <c r="AC175" s="46"/>
      <c r="AD175" s="46"/>
      <c r="AE175" s="180"/>
      <c r="AF175" s="180"/>
      <c r="AG175" s="46"/>
      <c r="AH175" s="46"/>
      <c r="AI175" s="144"/>
      <c r="AJ175" s="144"/>
      <c r="AK175" s="46"/>
      <c r="AL175" s="46"/>
      <c r="AM175" s="180"/>
      <c r="AN175" s="180"/>
      <c r="AO175" s="46">
        <v>2</v>
      </c>
      <c r="AP175" s="46">
        <v>2</v>
      </c>
      <c r="AQ175" s="138"/>
      <c r="AR175" s="138"/>
      <c r="AS175" s="46">
        <v>2</v>
      </c>
      <c r="AT175" s="46">
        <v>2</v>
      </c>
      <c r="AU175" s="180"/>
      <c r="AV175" s="180"/>
      <c r="AW175" s="180"/>
      <c r="AX175" s="180"/>
      <c r="AY175" s="180"/>
      <c r="AZ175" s="46">
        <v>2</v>
      </c>
      <c r="BA175" s="180"/>
      <c r="BB175" s="248"/>
      <c r="BC175" s="323"/>
      <c r="BD175" s="324"/>
    </row>
    <row r="176" spans="1:56" ht="15.75" thickTop="1">
      <c r="A176" s="317" t="s">
        <v>224</v>
      </c>
      <c r="B176" s="319" t="s">
        <v>225</v>
      </c>
      <c r="C176" s="319" t="s">
        <v>45</v>
      </c>
      <c r="D176" s="50">
        <f t="shared" si="7"/>
        <v>1</v>
      </c>
      <c r="E176" s="50">
        <v>0</v>
      </c>
      <c r="F176" s="50" t="s">
        <v>36</v>
      </c>
      <c r="G176" s="50">
        <v>1</v>
      </c>
      <c r="H176" s="45">
        <f t="shared" si="9"/>
        <v>0</v>
      </c>
      <c r="I176" s="45" t="s">
        <v>34</v>
      </c>
      <c r="J176" s="351" t="s">
        <v>35</v>
      </c>
      <c r="K176" s="178"/>
      <c r="L176" s="45">
        <v>1</v>
      </c>
      <c r="M176" s="45"/>
      <c r="N176" s="178"/>
      <c r="O176" s="178"/>
      <c r="P176" s="45"/>
      <c r="Q176" s="45"/>
      <c r="R176" s="136"/>
      <c r="S176" s="136"/>
      <c r="T176" s="45"/>
      <c r="U176" s="45"/>
      <c r="V176" s="178"/>
      <c r="W176" s="178"/>
      <c r="X176" s="45"/>
      <c r="Y176" s="45"/>
      <c r="Z176" s="45"/>
      <c r="AA176" s="142"/>
      <c r="AB176" s="142"/>
      <c r="AC176" s="45"/>
      <c r="AD176" s="45"/>
      <c r="AE176" s="178"/>
      <c r="AF176" s="178"/>
      <c r="AG176" s="45"/>
      <c r="AH176" s="45"/>
      <c r="AI176" s="142"/>
      <c r="AJ176" s="142"/>
      <c r="AK176" s="45"/>
      <c r="AL176" s="45"/>
      <c r="AM176" s="178"/>
      <c r="AN176" s="178"/>
      <c r="AO176" s="154"/>
      <c r="AP176" s="154"/>
      <c r="AQ176" s="154"/>
      <c r="AR176" s="154"/>
      <c r="AS176" s="154"/>
      <c r="AT176" s="154"/>
      <c r="AU176" s="154"/>
      <c r="AV176" s="154"/>
      <c r="AW176" s="154"/>
      <c r="AX176" s="154"/>
      <c r="AY176" s="154"/>
      <c r="AZ176" s="154"/>
      <c r="BA176" s="154"/>
      <c r="BB176" s="251"/>
      <c r="BC176" s="321" t="s">
        <v>226</v>
      </c>
      <c r="BD176" s="322"/>
    </row>
    <row r="177" spans="1:56" ht="15.75" thickBot="1">
      <c r="A177" s="318"/>
      <c r="B177" s="320"/>
      <c r="C177" s="320"/>
      <c r="D177" s="51">
        <f t="shared" si="7"/>
        <v>0</v>
      </c>
      <c r="E177" s="51">
        <v>0</v>
      </c>
      <c r="F177" s="51" t="s">
        <v>39</v>
      </c>
      <c r="G177" s="51">
        <v>9</v>
      </c>
      <c r="H177" s="46">
        <f t="shared" si="9"/>
        <v>9</v>
      </c>
      <c r="I177" s="46" t="s">
        <v>34</v>
      </c>
      <c r="J177" s="355"/>
      <c r="K177" s="180"/>
      <c r="L177" s="46"/>
      <c r="M177" s="46"/>
      <c r="N177" s="180"/>
      <c r="O177" s="180"/>
      <c r="P177" s="46"/>
      <c r="Q177" s="46"/>
      <c r="R177" s="138"/>
      <c r="S177" s="138"/>
      <c r="T177" s="46"/>
      <c r="U177" s="46"/>
      <c r="V177" s="180"/>
      <c r="W177" s="180"/>
      <c r="X177" s="46"/>
      <c r="Y177" s="46"/>
      <c r="Z177" s="46"/>
      <c r="AA177" s="144"/>
      <c r="AB177" s="144"/>
      <c r="AC177" s="46"/>
      <c r="AD177" s="46"/>
      <c r="AE177" s="180"/>
      <c r="AF177" s="180"/>
      <c r="AG177" s="46"/>
      <c r="AH177" s="46"/>
      <c r="AI177" s="144"/>
      <c r="AJ177" s="144"/>
      <c r="AK177" s="46"/>
      <c r="AL177" s="46"/>
      <c r="AM177" s="180"/>
      <c r="AN177" s="180"/>
      <c r="AO177" s="254"/>
      <c r="AP177" s="254"/>
      <c r="AQ177" s="254"/>
      <c r="AR177" s="254"/>
      <c r="AS177" s="254"/>
      <c r="AT177" s="254"/>
      <c r="AU177" s="254"/>
      <c r="AV177" s="254"/>
      <c r="AW177" s="254"/>
      <c r="AX177" s="254"/>
      <c r="AY177" s="254"/>
      <c r="AZ177" s="254"/>
      <c r="BA177" s="254"/>
      <c r="BB177" s="255"/>
      <c r="BC177" s="323"/>
      <c r="BD177" s="324"/>
    </row>
    <row r="178" spans="1:56" ht="15.75" thickTop="1">
      <c r="A178" s="358" t="s">
        <v>227</v>
      </c>
      <c r="B178" s="319" t="s">
        <v>228</v>
      </c>
      <c r="C178" s="361" t="s">
        <v>32</v>
      </c>
      <c r="D178" s="50">
        <f t="shared" si="7"/>
        <v>4</v>
      </c>
      <c r="E178" s="50">
        <v>0</v>
      </c>
      <c r="F178" s="50" t="s">
        <v>36</v>
      </c>
      <c r="G178" s="50">
        <v>6</v>
      </c>
      <c r="H178" s="45">
        <f t="shared" si="9"/>
        <v>0</v>
      </c>
      <c r="I178" s="47" t="s">
        <v>34</v>
      </c>
      <c r="J178" s="363" t="s">
        <v>35</v>
      </c>
      <c r="K178" s="178"/>
      <c r="L178" s="45"/>
      <c r="M178" s="45"/>
      <c r="N178" s="178"/>
      <c r="O178" s="178"/>
      <c r="P178" s="45"/>
      <c r="Q178" s="45"/>
      <c r="R178" s="136"/>
      <c r="S178" s="136"/>
      <c r="T178" s="45"/>
      <c r="U178" s="45"/>
      <c r="V178" s="178"/>
      <c r="W178" s="178"/>
      <c r="X178" s="45"/>
      <c r="Y178" s="45"/>
      <c r="Z178" s="45"/>
      <c r="AA178" s="142"/>
      <c r="AB178" s="142"/>
      <c r="AC178" s="45"/>
      <c r="AD178" s="45"/>
      <c r="AE178" s="178"/>
      <c r="AF178" s="178"/>
      <c r="AG178" s="45">
        <v>1.5</v>
      </c>
      <c r="AH178" s="45">
        <v>1.5</v>
      </c>
      <c r="AI178" s="142"/>
      <c r="AJ178" s="142"/>
      <c r="AK178" s="45">
        <v>1.5</v>
      </c>
      <c r="AL178" s="45">
        <v>1.5</v>
      </c>
      <c r="AM178" s="178"/>
      <c r="AN178" s="178"/>
      <c r="AO178" s="154"/>
      <c r="AP178" s="154"/>
      <c r="AQ178" s="154"/>
      <c r="AR178" s="154"/>
      <c r="AS178" s="154"/>
      <c r="AT178" s="154"/>
      <c r="AU178" s="154"/>
      <c r="AV178" s="154"/>
      <c r="AW178" s="154"/>
      <c r="AX178" s="154"/>
      <c r="AY178" s="154"/>
      <c r="AZ178" s="154"/>
      <c r="BA178" s="154"/>
      <c r="BB178" s="251"/>
      <c r="BC178" s="321"/>
      <c r="BD178" s="322"/>
    </row>
    <row r="179" spans="1:56">
      <c r="A179" s="359"/>
      <c r="B179" s="348"/>
      <c r="C179" s="362"/>
      <c r="D179" s="49">
        <f t="shared" si="7"/>
        <v>2</v>
      </c>
      <c r="E179" s="49">
        <v>0</v>
      </c>
      <c r="F179" s="49" t="s">
        <v>39</v>
      </c>
      <c r="G179" s="49">
        <v>6</v>
      </c>
      <c r="H179" s="43">
        <f t="shared" si="9"/>
        <v>0</v>
      </c>
      <c r="I179" s="44">
        <v>126</v>
      </c>
      <c r="J179" s="349"/>
      <c r="K179" s="179"/>
      <c r="L179" s="43"/>
      <c r="M179" s="43"/>
      <c r="N179" s="179"/>
      <c r="O179" s="179"/>
      <c r="P179" s="43"/>
      <c r="Q179" s="43"/>
      <c r="R179" s="137"/>
      <c r="S179" s="137"/>
      <c r="T179" s="43"/>
      <c r="U179" s="43"/>
      <c r="V179" s="179"/>
      <c r="W179" s="179"/>
      <c r="X179" s="43"/>
      <c r="Y179" s="43"/>
      <c r="Z179" s="43"/>
      <c r="AA179" s="143"/>
      <c r="AB179" s="143"/>
      <c r="AC179" s="43"/>
      <c r="AD179" s="43"/>
      <c r="AE179" s="179"/>
      <c r="AF179" s="179"/>
      <c r="AG179" s="43"/>
      <c r="AH179" s="43"/>
      <c r="AI179" s="143"/>
      <c r="AJ179" s="143"/>
      <c r="AK179" s="43"/>
      <c r="AL179" s="43"/>
      <c r="AM179" s="179">
        <v>3</v>
      </c>
      <c r="AN179" s="179">
        <v>3</v>
      </c>
      <c r="AO179" s="157"/>
      <c r="AP179" s="157"/>
      <c r="AQ179" s="157"/>
      <c r="AR179" s="157"/>
      <c r="AS179" s="157"/>
      <c r="AT179" s="157"/>
      <c r="AU179" s="157"/>
      <c r="AV179" s="157"/>
      <c r="AW179" s="157"/>
      <c r="AX179" s="157"/>
      <c r="AY179" s="157"/>
      <c r="AZ179" s="157"/>
      <c r="BA179" s="157"/>
      <c r="BB179" s="252"/>
      <c r="BC179" s="344"/>
      <c r="BD179" s="345"/>
    </row>
    <row r="180" spans="1:56">
      <c r="A180" s="359"/>
      <c r="B180" s="348"/>
      <c r="C180" s="362"/>
      <c r="D180" s="56">
        <f t="shared" si="7"/>
        <v>6</v>
      </c>
      <c r="E180" s="49">
        <v>0</v>
      </c>
      <c r="F180" s="49" t="s">
        <v>78</v>
      </c>
      <c r="G180" s="49">
        <v>18</v>
      </c>
      <c r="H180" s="43">
        <f t="shared" si="9"/>
        <v>0</v>
      </c>
      <c r="I180" s="44"/>
      <c r="J180" s="349"/>
      <c r="K180" s="179"/>
      <c r="L180" s="43"/>
      <c r="M180" s="43"/>
      <c r="N180" s="179"/>
      <c r="O180" s="179"/>
      <c r="P180" s="43"/>
      <c r="Q180" s="43"/>
      <c r="R180" s="137"/>
      <c r="S180" s="137"/>
      <c r="T180" s="43"/>
      <c r="U180" s="43"/>
      <c r="V180" s="179"/>
      <c r="W180" s="179"/>
      <c r="X180" s="43"/>
      <c r="Y180" s="43"/>
      <c r="Z180" s="43"/>
      <c r="AA180" s="143"/>
      <c r="AB180" s="143"/>
      <c r="AC180" s="43"/>
      <c r="AD180" s="43"/>
      <c r="AE180" s="179"/>
      <c r="AF180" s="179"/>
      <c r="AG180" s="43">
        <v>3</v>
      </c>
      <c r="AH180" s="43">
        <v>3</v>
      </c>
      <c r="AI180" s="143"/>
      <c r="AJ180" s="143"/>
      <c r="AK180" s="43">
        <v>3</v>
      </c>
      <c r="AL180" s="43">
        <v>3</v>
      </c>
      <c r="AM180" s="179">
        <v>3</v>
      </c>
      <c r="AN180" s="179">
        <v>3</v>
      </c>
      <c r="AO180" s="157"/>
      <c r="AP180" s="157"/>
      <c r="AQ180" s="157"/>
      <c r="AR180" s="157"/>
      <c r="AS180" s="157"/>
      <c r="AT180" s="157"/>
      <c r="AU180" s="157"/>
      <c r="AV180" s="157"/>
      <c r="AW180" s="157"/>
      <c r="AX180" s="157"/>
      <c r="AY180" s="157"/>
      <c r="AZ180" s="157"/>
      <c r="BA180" s="157"/>
      <c r="BB180" s="252"/>
      <c r="BC180" s="344"/>
      <c r="BD180" s="345"/>
    </row>
    <row r="181" spans="1:56">
      <c r="A181" s="359"/>
      <c r="B181" s="348"/>
      <c r="C181" s="348" t="s">
        <v>73</v>
      </c>
      <c r="D181" s="49">
        <f t="shared" si="7"/>
        <v>4</v>
      </c>
      <c r="E181" s="49">
        <v>0</v>
      </c>
      <c r="F181" s="49" t="s">
        <v>36</v>
      </c>
      <c r="G181" s="49">
        <v>6</v>
      </c>
      <c r="H181" s="43">
        <f t="shared" si="9"/>
        <v>0</v>
      </c>
      <c r="I181" s="44" t="s">
        <v>34</v>
      </c>
      <c r="J181" s="349"/>
      <c r="K181" s="179"/>
      <c r="L181" s="43"/>
      <c r="M181" s="43"/>
      <c r="N181" s="179"/>
      <c r="O181" s="179"/>
      <c r="P181" s="43"/>
      <c r="Q181" s="43"/>
      <c r="R181" s="137"/>
      <c r="S181" s="137"/>
      <c r="T181" s="43"/>
      <c r="U181" s="43"/>
      <c r="V181" s="179"/>
      <c r="W181" s="179"/>
      <c r="X181" s="43"/>
      <c r="Y181" s="43"/>
      <c r="Z181" s="43"/>
      <c r="AA181" s="143"/>
      <c r="AB181" s="143"/>
      <c r="AC181" s="43"/>
      <c r="AD181" s="43"/>
      <c r="AE181" s="179"/>
      <c r="AF181" s="179"/>
      <c r="AG181" s="43">
        <v>1.5</v>
      </c>
      <c r="AH181" s="43">
        <v>1.5</v>
      </c>
      <c r="AI181" s="143"/>
      <c r="AJ181" s="143"/>
      <c r="AK181" s="43">
        <v>1.5</v>
      </c>
      <c r="AL181" s="43">
        <v>1.5</v>
      </c>
      <c r="AM181" s="179"/>
      <c r="AN181" s="179"/>
      <c r="AO181" s="157"/>
      <c r="AP181" s="157"/>
      <c r="AQ181" s="157"/>
      <c r="AR181" s="157"/>
      <c r="AS181" s="157"/>
      <c r="AT181" s="157"/>
      <c r="AU181" s="157"/>
      <c r="AV181" s="157"/>
      <c r="AW181" s="157"/>
      <c r="AX181" s="157"/>
      <c r="AY181" s="157"/>
      <c r="AZ181" s="157"/>
      <c r="BA181" s="157"/>
      <c r="BB181" s="252"/>
      <c r="BC181" s="344"/>
      <c r="BD181" s="345"/>
    </row>
    <row r="182" spans="1:56">
      <c r="A182" s="359"/>
      <c r="B182" s="348"/>
      <c r="C182" s="348"/>
      <c r="D182" s="49">
        <f t="shared" si="7"/>
        <v>2</v>
      </c>
      <c r="E182" s="49">
        <v>0</v>
      </c>
      <c r="F182" s="49" t="s">
        <v>39</v>
      </c>
      <c r="G182" s="49">
        <v>6</v>
      </c>
      <c r="H182" s="43">
        <f t="shared" si="9"/>
        <v>0</v>
      </c>
      <c r="I182" s="44">
        <v>123</v>
      </c>
      <c r="J182" s="349"/>
      <c r="K182" s="179"/>
      <c r="L182" s="43"/>
      <c r="M182" s="43"/>
      <c r="N182" s="179"/>
      <c r="O182" s="179"/>
      <c r="P182" s="43"/>
      <c r="Q182" s="43"/>
      <c r="R182" s="137"/>
      <c r="S182" s="137"/>
      <c r="T182" s="43"/>
      <c r="U182" s="43"/>
      <c r="V182" s="179"/>
      <c r="W182" s="179"/>
      <c r="X182" s="43"/>
      <c r="Y182" s="43"/>
      <c r="Z182" s="43"/>
      <c r="AA182" s="143"/>
      <c r="AB182" s="143"/>
      <c r="AC182" s="43"/>
      <c r="AD182" s="43"/>
      <c r="AE182" s="179"/>
      <c r="AF182" s="179"/>
      <c r="AG182" s="43"/>
      <c r="AH182" s="43"/>
      <c r="AI182" s="143"/>
      <c r="AJ182" s="143"/>
      <c r="AK182" s="43"/>
      <c r="AL182" s="43"/>
      <c r="AM182" s="179">
        <v>3</v>
      </c>
      <c r="AN182" s="179">
        <v>3</v>
      </c>
      <c r="AO182" s="157"/>
      <c r="AP182" s="157"/>
      <c r="AQ182" s="157"/>
      <c r="AR182" s="157"/>
      <c r="AS182" s="157"/>
      <c r="AT182" s="157"/>
      <c r="AU182" s="157"/>
      <c r="AV182" s="157"/>
      <c r="AW182" s="157"/>
      <c r="AX182" s="157"/>
      <c r="AY182" s="157"/>
      <c r="AZ182" s="157"/>
      <c r="BA182" s="157"/>
      <c r="BB182" s="252"/>
      <c r="BC182" s="344"/>
      <c r="BD182" s="345"/>
    </row>
    <row r="183" spans="1:56" ht="15.75" thickBot="1">
      <c r="A183" s="359"/>
      <c r="B183" s="348"/>
      <c r="C183" s="348"/>
      <c r="D183" s="49">
        <f t="shared" si="7"/>
        <v>6</v>
      </c>
      <c r="E183" s="49">
        <v>0</v>
      </c>
      <c r="F183" s="49" t="s">
        <v>78</v>
      </c>
      <c r="G183" s="49">
        <v>18</v>
      </c>
      <c r="H183" s="43">
        <f t="shared" si="9"/>
        <v>0</v>
      </c>
      <c r="I183" s="44"/>
      <c r="J183" s="364"/>
      <c r="K183" s="241"/>
      <c r="L183" s="221"/>
      <c r="M183" s="221"/>
      <c r="N183" s="241"/>
      <c r="O183" s="241"/>
      <c r="P183" s="221"/>
      <c r="Q183" s="221"/>
      <c r="R183" s="242"/>
      <c r="S183" s="242"/>
      <c r="T183" s="221"/>
      <c r="U183" s="221"/>
      <c r="V183" s="241"/>
      <c r="W183" s="241"/>
      <c r="X183" s="221"/>
      <c r="Y183" s="221"/>
      <c r="Z183" s="221"/>
      <c r="AA183" s="243"/>
      <c r="AB183" s="243"/>
      <c r="AC183" s="221"/>
      <c r="AD183" s="221"/>
      <c r="AE183" s="241"/>
      <c r="AF183" s="241"/>
      <c r="AG183" s="221">
        <v>3</v>
      </c>
      <c r="AH183" s="221">
        <v>3</v>
      </c>
      <c r="AI183" s="243"/>
      <c r="AJ183" s="243"/>
      <c r="AK183" s="221">
        <v>3</v>
      </c>
      <c r="AL183" s="221">
        <v>3</v>
      </c>
      <c r="AM183" s="241">
        <v>3</v>
      </c>
      <c r="AN183" s="241">
        <v>3</v>
      </c>
      <c r="AO183" s="250"/>
      <c r="AP183" s="250"/>
      <c r="AQ183" s="250"/>
      <c r="AR183" s="250"/>
      <c r="AS183" s="250"/>
      <c r="AT183" s="250"/>
      <c r="AU183" s="250"/>
      <c r="AV183" s="250"/>
      <c r="AW183" s="250"/>
      <c r="AX183" s="250"/>
      <c r="AY183" s="250"/>
      <c r="AZ183" s="250"/>
      <c r="BA183" s="250"/>
      <c r="BB183" s="253"/>
      <c r="BC183" s="346"/>
      <c r="BD183" s="347"/>
    </row>
    <row r="184" spans="1:56">
      <c r="A184" s="359"/>
      <c r="B184" s="348"/>
      <c r="C184" s="348" t="s">
        <v>32</v>
      </c>
      <c r="D184" s="49">
        <f t="shared" si="7"/>
        <v>2</v>
      </c>
      <c r="E184" s="49">
        <v>1</v>
      </c>
      <c r="F184" s="49" t="s">
        <v>36</v>
      </c>
      <c r="G184" s="49">
        <v>6</v>
      </c>
      <c r="H184" s="43">
        <f t="shared" si="9"/>
        <v>0</v>
      </c>
      <c r="I184" s="44" t="s">
        <v>34</v>
      </c>
      <c r="J184" s="349" t="s">
        <v>37</v>
      </c>
      <c r="K184" s="238"/>
      <c r="L184" s="42"/>
      <c r="M184" s="42"/>
      <c r="N184" s="238"/>
      <c r="O184" s="238"/>
      <c r="P184" s="42"/>
      <c r="Q184" s="42"/>
      <c r="R184" s="239"/>
      <c r="S184" s="239"/>
      <c r="T184" s="42"/>
      <c r="U184" s="42"/>
      <c r="V184" s="238"/>
      <c r="W184" s="238"/>
      <c r="X184" s="42"/>
      <c r="Y184" s="42"/>
      <c r="Z184" s="42"/>
      <c r="AA184" s="240"/>
      <c r="AB184" s="240"/>
      <c r="AC184" s="42"/>
      <c r="AD184" s="42"/>
      <c r="AE184" s="238"/>
      <c r="AF184" s="238"/>
      <c r="AG184" s="42"/>
      <c r="AH184" s="42"/>
      <c r="AI184" s="240"/>
      <c r="AJ184" s="240"/>
      <c r="AK184" s="42"/>
      <c r="AL184" s="42"/>
      <c r="AM184" s="238"/>
      <c r="AN184" s="238"/>
      <c r="AO184" s="42">
        <v>3</v>
      </c>
      <c r="AP184" s="42">
        <v>3</v>
      </c>
      <c r="AQ184" s="240"/>
      <c r="AR184" s="240"/>
      <c r="AS184" s="42"/>
      <c r="AT184" s="42"/>
      <c r="AU184" s="238"/>
      <c r="AV184" s="238"/>
      <c r="AW184" s="238"/>
      <c r="AX184" s="238"/>
      <c r="AY184" s="238"/>
      <c r="AZ184" s="42"/>
      <c r="BA184" s="238"/>
      <c r="BB184" s="246"/>
      <c r="BC184" s="356"/>
      <c r="BD184" s="357"/>
    </row>
    <row r="185" spans="1:56">
      <c r="A185" s="359"/>
      <c r="B185" s="348"/>
      <c r="C185" s="348"/>
      <c r="D185" s="49">
        <f t="shared" si="7"/>
        <v>2</v>
      </c>
      <c r="E185" s="49">
        <v>1</v>
      </c>
      <c r="F185" s="49" t="s">
        <v>39</v>
      </c>
      <c r="G185" s="49">
        <v>6</v>
      </c>
      <c r="H185" s="43">
        <f t="shared" si="9"/>
        <v>0</v>
      </c>
      <c r="I185" s="44">
        <v>126</v>
      </c>
      <c r="J185" s="349"/>
      <c r="K185" s="179"/>
      <c r="L185" s="43"/>
      <c r="M185" s="43"/>
      <c r="N185" s="179"/>
      <c r="O185" s="179"/>
      <c r="P185" s="43"/>
      <c r="Q185" s="43"/>
      <c r="R185" s="137"/>
      <c r="S185" s="137"/>
      <c r="T185" s="43"/>
      <c r="U185" s="43"/>
      <c r="V185" s="179"/>
      <c r="W185" s="179"/>
      <c r="X185" s="43"/>
      <c r="Y185" s="43"/>
      <c r="Z185" s="43"/>
      <c r="AA185" s="143"/>
      <c r="AB185" s="143"/>
      <c r="AC185" s="43"/>
      <c r="AD185" s="43"/>
      <c r="AE185" s="179"/>
      <c r="AF185" s="179"/>
      <c r="AG185" s="43"/>
      <c r="AH185" s="43"/>
      <c r="AI185" s="143"/>
      <c r="AJ185" s="143"/>
      <c r="AK185" s="43"/>
      <c r="AL185" s="43"/>
      <c r="AM185" s="179"/>
      <c r="AN185" s="179"/>
      <c r="AO185" s="43"/>
      <c r="AP185" s="43"/>
      <c r="AQ185" s="143"/>
      <c r="AR185" s="143"/>
      <c r="AS185" s="43">
        <v>3</v>
      </c>
      <c r="AT185" s="43">
        <v>3</v>
      </c>
      <c r="AU185" s="179"/>
      <c r="AV185" s="179"/>
      <c r="AW185" s="179"/>
      <c r="AX185" s="179"/>
      <c r="AY185" s="179"/>
      <c r="AZ185" s="43"/>
      <c r="BA185" s="179"/>
      <c r="BB185" s="247"/>
      <c r="BC185" s="344"/>
      <c r="BD185" s="345"/>
    </row>
    <row r="186" spans="1:56">
      <c r="A186" s="359"/>
      <c r="B186" s="348"/>
      <c r="C186" s="348"/>
      <c r="D186" s="49">
        <f t="shared" si="7"/>
        <v>4</v>
      </c>
      <c r="E186" s="49">
        <v>1</v>
      </c>
      <c r="F186" s="49" t="s">
        <v>78</v>
      </c>
      <c r="G186" s="49">
        <v>18</v>
      </c>
      <c r="H186" s="43">
        <f t="shared" si="9"/>
        <v>0</v>
      </c>
      <c r="I186" s="44"/>
      <c r="J186" s="349"/>
      <c r="K186" s="179"/>
      <c r="L186" s="43"/>
      <c r="M186" s="43"/>
      <c r="N186" s="179"/>
      <c r="O186" s="179"/>
      <c r="P186" s="43"/>
      <c r="Q186" s="43"/>
      <c r="R186" s="137"/>
      <c r="S186" s="137"/>
      <c r="T186" s="43"/>
      <c r="U186" s="43"/>
      <c r="V186" s="179"/>
      <c r="W186" s="179"/>
      <c r="X186" s="43"/>
      <c r="Y186" s="43"/>
      <c r="Z186" s="43"/>
      <c r="AA186" s="143"/>
      <c r="AB186" s="143"/>
      <c r="AC186" s="43"/>
      <c r="AD186" s="43"/>
      <c r="AE186" s="179"/>
      <c r="AF186" s="179"/>
      <c r="AG186" s="43"/>
      <c r="AH186" s="43"/>
      <c r="AI186" s="143"/>
      <c r="AJ186" s="143"/>
      <c r="AK186" s="43"/>
      <c r="AL186" s="43"/>
      <c r="AM186" s="179"/>
      <c r="AN186" s="179"/>
      <c r="AO186" s="43">
        <v>4.5</v>
      </c>
      <c r="AP186" s="43">
        <v>4.5</v>
      </c>
      <c r="AQ186" s="143"/>
      <c r="AR186" s="143"/>
      <c r="AS186" s="43">
        <v>4.5</v>
      </c>
      <c r="AT186" s="43">
        <v>4.5</v>
      </c>
      <c r="AU186" s="179"/>
      <c r="AV186" s="179"/>
      <c r="AW186" s="179"/>
      <c r="AX186" s="179"/>
      <c r="AY186" s="179"/>
      <c r="AZ186" s="43"/>
      <c r="BA186" s="179"/>
      <c r="BB186" s="247"/>
      <c r="BC186" s="344"/>
      <c r="BD186" s="345"/>
    </row>
    <row r="187" spans="1:56">
      <c r="A187" s="359"/>
      <c r="B187" s="348"/>
      <c r="C187" s="374" t="s">
        <v>73</v>
      </c>
      <c r="D187" s="49">
        <f t="shared" ref="D187:D193" si="10">COUNT(K187:BA187)</f>
        <v>2</v>
      </c>
      <c r="E187" s="49">
        <v>1</v>
      </c>
      <c r="F187" s="49" t="s">
        <v>36</v>
      </c>
      <c r="G187" s="49">
        <v>6</v>
      </c>
      <c r="H187" s="43">
        <f t="shared" si="9"/>
        <v>0</v>
      </c>
      <c r="I187" s="44" t="s">
        <v>34</v>
      </c>
      <c r="J187" s="349"/>
      <c r="K187" s="179"/>
      <c r="L187" s="43"/>
      <c r="M187" s="43"/>
      <c r="N187" s="179"/>
      <c r="O187" s="179"/>
      <c r="P187" s="43"/>
      <c r="Q187" s="43"/>
      <c r="R187" s="137"/>
      <c r="S187" s="137"/>
      <c r="T187" s="43"/>
      <c r="U187" s="43"/>
      <c r="V187" s="179"/>
      <c r="W187" s="179"/>
      <c r="X187" s="43"/>
      <c r="Y187" s="43"/>
      <c r="Z187" s="43"/>
      <c r="AA187" s="143"/>
      <c r="AB187" s="143"/>
      <c r="AC187" s="43"/>
      <c r="AD187" s="43"/>
      <c r="AE187" s="179"/>
      <c r="AF187" s="179"/>
      <c r="AG187" s="43"/>
      <c r="AH187" s="43"/>
      <c r="AI187" s="143"/>
      <c r="AJ187" s="143"/>
      <c r="AK187" s="43"/>
      <c r="AL187" s="43"/>
      <c r="AM187" s="179"/>
      <c r="AN187" s="179"/>
      <c r="AO187" s="43"/>
      <c r="AP187" s="43">
        <v>3</v>
      </c>
      <c r="AQ187" s="143"/>
      <c r="AR187" s="143"/>
      <c r="AS187" s="43">
        <v>3</v>
      </c>
      <c r="AT187" s="43"/>
      <c r="AU187" s="179"/>
      <c r="AV187" s="179"/>
      <c r="AW187" s="179"/>
      <c r="AX187" s="179"/>
      <c r="AY187" s="179"/>
      <c r="AZ187" s="43"/>
      <c r="BA187" s="179"/>
      <c r="BB187" s="247"/>
      <c r="BC187" s="344"/>
      <c r="BD187" s="345"/>
    </row>
    <row r="188" spans="1:56">
      <c r="A188" s="359"/>
      <c r="B188" s="348"/>
      <c r="C188" s="362"/>
      <c r="D188" s="49">
        <f t="shared" si="10"/>
        <v>2</v>
      </c>
      <c r="E188" s="49">
        <v>1</v>
      </c>
      <c r="F188" s="49" t="s">
        <v>39</v>
      </c>
      <c r="G188" s="49">
        <v>6</v>
      </c>
      <c r="H188" s="43">
        <f t="shared" si="9"/>
        <v>0</v>
      </c>
      <c r="I188" s="44">
        <v>123</v>
      </c>
      <c r="J188" s="349"/>
      <c r="K188" s="179"/>
      <c r="L188" s="43"/>
      <c r="M188" s="43"/>
      <c r="N188" s="179"/>
      <c r="O188" s="179"/>
      <c r="P188" s="43"/>
      <c r="Q188" s="43"/>
      <c r="R188" s="137"/>
      <c r="S188" s="137"/>
      <c r="T188" s="43"/>
      <c r="U188" s="43"/>
      <c r="V188" s="179"/>
      <c r="W188" s="179"/>
      <c r="X188" s="43"/>
      <c r="Y188" s="43"/>
      <c r="Z188" s="43"/>
      <c r="AA188" s="143"/>
      <c r="AB188" s="143"/>
      <c r="AC188" s="43"/>
      <c r="AD188" s="43"/>
      <c r="AE188" s="179"/>
      <c r="AF188" s="179"/>
      <c r="AG188" s="43"/>
      <c r="AH188" s="43"/>
      <c r="AI188" s="143"/>
      <c r="AJ188" s="143"/>
      <c r="AK188" s="43"/>
      <c r="AL188" s="43"/>
      <c r="AM188" s="179"/>
      <c r="AN188" s="179"/>
      <c r="AO188" s="43"/>
      <c r="AP188" s="43"/>
      <c r="AQ188" s="137"/>
      <c r="AR188" s="137"/>
      <c r="AT188" s="43">
        <v>3</v>
      </c>
      <c r="AU188" s="179"/>
      <c r="AV188" s="179"/>
      <c r="AW188" s="179"/>
      <c r="AX188" s="179"/>
      <c r="AY188" s="179"/>
      <c r="AZ188" s="43">
        <v>3</v>
      </c>
      <c r="BA188" s="179"/>
      <c r="BB188" s="247"/>
      <c r="BC188" s="344"/>
      <c r="BD188" s="345"/>
    </row>
    <row r="189" spans="1:56" ht="15.75" thickBot="1">
      <c r="A189" s="360"/>
      <c r="B189" s="320"/>
      <c r="C189" s="375"/>
      <c r="D189" s="51">
        <f t="shared" si="10"/>
        <v>4</v>
      </c>
      <c r="E189" s="51">
        <v>1</v>
      </c>
      <c r="F189" s="51" t="s">
        <v>78</v>
      </c>
      <c r="G189" s="51">
        <v>18</v>
      </c>
      <c r="H189" s="46">
        <f t="shared" si="9"/>
        <v>0</v>
      </c>
      <c r="I189" s="48"/>
      <c r="J189" s="350"/>
      <c r="K189" s="180"/>
      <c r="L189" s="46"/>
      <c r="M189" s="46"/>
      <c r="N189" s="180"/>
      <c r="O189" s="180"/>
      <c r="P189" s="46"/>
      <c r="Q189" s="46"/>
      <c r="R189" s="138"/>
      <c r="S189" s="138"/>
      <c r="T189" s="46"/>
      <c r="U189" s="46"/>
      <c r="V189" s="180"/>
      <c r="W189" s="180"/>
      <c r="X189" s="46"/>
      <c r="Y189" s="46"/>
      <c r="Z189" s="46"/>
      <c r="AA189" s="144"/>
      <c r="AB189" s="144"/>
      <c r="AC189" s="46"/>
      <c r="AD189" s="46"/>
      <c r="AE189" s="180"/>
      <c r="AF189" s="180"/>
      <c r="AG189" s="46"/>
      <c r="AH189" s="46"/>
      <c r="AI189" s="144"/>
      <c r="AJ189" s="144"/>
      <c r="AK189" s="46"/>
      <c r="AL189" s="46"/>
      <c r="AM189" s="180"/>
      <c r="AN189" s="180"/>
      <c r="AO189" s="46"/>
      <c r="AP189" s="46">
        <v>4.5</v>
      </c>
      <c r="AQ189" s="144"/>
      <c r="AR189" s="144"/>
      <c r="AS189" s="46">
        <v>4.5</v>
      </c>
      <c r="AT189" s="46">
        <v>4.5</v>
      </c>
      <c r="AU189" s="180"/>
      <c r="AV189" s="180"/>
      <c r="AW189" s="180"/>
      <c r="AX189" s="180"/>
      <c r="AY189" s="180"/>
      <c r="AZ189" s="46">
        <v>4.5</v>
      </c>
      <c r="BA189" s="180"/>
      <c r="BB189" s="248"/>
      <c r="BC189" s="323"/>
      <c r="BD189" s="324"/>
    </row>
    <row r="190" spans="1:56" ht="15.75" thickTop="1">
      <c r="A190" s="317" t="s">
        <v>229</v>
      </c>
      <c r="B190" s="319" t="s">
        <v>92</v>
      </c>
      <c r="C190" s="50"/>
      <c r="D190" s="50">
        <f t="shared" si="10"/>
        <v>0</v>
      </c>
      <c r="E190" s="50"/>
      <c r="F190" s="52" t="s">
        <v>36</v>
      </c>
      <c r="G190" s="50">
        <v>10</v>
      </c>
      <c r="H190" s="45">
        <f t="shared" si="9"/>
        <v>10</v>
      </c>
      <c r="I190" s="45"/>
      <c r="J190" s="45" t="s">
        <v>35</v>
      </c>
      <c r="K190" s="178"/>
      <c r="L190" s="45"/>
      <c r="M190" s="45"/>
      <c r="N190" s="178"/>
      <c r="O190" s="178"/>
      <c r="P190" s="45"/>
      <c r="Q190" s="45"/>
      <c r="R190" s="136"/>
      <c r="S190" s="136"/>
      <c r="T190" s="45"/>
      <c r="U190" s="45"/>
      <c r="V190" s="178"/>
      <c r="W190" s="178"/>
      <c r="X190" s="45"/>
      <c r="Y190" s="45"/>
      <c r="Z190" s="45"/>
      <c r="AA190" s="142"/>
      <c r="AB190" s="142"/>
      <c r="AC190" s="45"/>
      <c r="AD190" s="45"/>
      <c r="AE190" s="178"/>
      <c r="AF190" s="178"/>
      <c r="AG190" s="45"/>
      <c r="AH190" s="45"/>
      <c r="AI190" s="142"/>
      <c r="AJ190" s="142"/>
      <c r="AK190" s="45"/>
      <c r="AL190" s="45"/>
      <c r="AM190" s="178"/>
      <c r="AN190" s="178"/>
      <c r="AO190" s="153"/>
      <c r="AP190" s="153"/>
      <c r="AQ190" s="136"/>
      <c r="AR190" s="136"/>
      <c r="AS190" s="153"/>
      <c r="AT190" s="153"/>
      <c r="AU190" s="153"/>
      <c r="AV190" s="153"/>
      <c r="AW190" s="153"/>
      <c r="AX190" s="153"/>
      <c r="AY190" s="153"/>
      <c r="AZ190" s="153"/>
      <c r="BA190" s="153"/>
      <c r="BB190" s="155"/>
      <c r="BC190" s="321"/>
      <c r="BD190" s="322"/>
    </row>
    <row r="191" spans="1:56" ht="15.75" thickBot="1">
      <c r="A191" s="318"/>
      <c r="B191" s="320"/>
      <c r="C191" s="51"/>
      <c r="D191" s="51">
        <f t="shared" si="10"/>
        <v>0</v>
      </c>
      <c r="E191" s="54"/>
      <c r="F191" s="46" t="s">
        <v>36</v>
      </c>
      <c r="G191" s="55">
        <v>10</v>
      </c>
      <c r="H191" s="46">
        <f t="shared" si="9"/>
        <v>10</v>
      </c>
      <c r="I191" s="46"/>
      <c r="J191" s="46" t="s">
        <v>37</v>
      </c>
      <c r="K191" s="180"/>
      <c r="L191" s="46"/>
      <c r="M191" s="46"/>
      <c r="N191" s="180"/>
      <c r="O191" s="180"/>
      <c r="P191" s="46"/>
      <c r="Q191" s="46"/>
      <c r="R191" s="138"/>
      <c r="S191" s="138"/>
      <c r="T191" s="46"/>
      <c r="U191" s="46"/>
      <c r="V191" s="180"/>
      <c r="W191" s="180"/>
      <c r="X191" s="46"/>
      <c r="Y191" s="46"/>
      <c r="Z191" s="46"/>
      <c r="AA191" s="144"/>
      <c r="AB191" s="144"/>
      <c r="AC191" s="46"/>
      <c r="AD191" s="46"/>
      <c r="AE191" s="180"/>
      <c r="AF191" s="180"/>
      <c r="AG191" s="46"/>
      <c r="AH191" s="46"/>
      <c r="AI191" s="144"/>
      <c r="AJ191" s="144"/>
      <c r="AK191" s="46"/>
      <c r="AL191" s="46"/>
      <c r="AM191" s="180"/>
      <c r="AN191" s="180"/>
      <c r="AO191" s="184"/>
      <c r="AP191" s="184"/>
      <c r="AQ191" s="138"/>
      <c r="AR191" s="138"/>
      <c r="AS191" s="184"/>
      <c r="AT191" s="184"/>
      <c r="AU191" s="184"/>
      <c r="AV191" s="184"/>
      <c r="AW191" s="184"/>
      <c r="AX191" s="184"/>
      <c r="AY191" s="184"/>
      <c r="AZ191" s="184"/>
      <c r="BA191" s="184"/>
      <c r="BB191" s="165"/>
      <c r="BC191" s="323"/>
      <c r="BD191" s="324"/>
    </row>
    <row r="192" spans="1:56" ht="15.75" thickTop="1">
      <c r="A192" s="317"/>
      <c r="B192" s="319" t="s">
        <v>197</v>
      </c>
      <c r="C192" s="50"/>
      <c r="D192" s="50">
        <f t="shared" si="10"/>
        <v>0</v>
      </c>
      <c r="E192" s="50"/>
      <c r="F192" s="45" t="s">
        <v>36</v>
      </c>
      <c r="G192" s="50">
        <v>11</v>
      </c>
      <c r="H192" s="45">
        <f t="shared" si="9"/>
        <v>11</v>
      </c>
      <c r="I192" s="45"/>
      <c r="J192" s="45" t="s">
        <v>35</v>
      </c>
      <c r="K192" s="178"/>
      <c r="L192" s="45"/>
      <c r="M192" s="45"/>
      <c r="N192" s="178"/>
      <c r="O192" s="178"/>
      <c r="P192" s="45"/>
      <c r="Q192" s="45"/>
      <c r="R192" s="136"/>
      <c r="S192" s="136"/>
      <c r="T192" s="45"/>
      <c r="U192" s="45"/>
      <c r="V192" s="178"/>
      <c r="W192" s="178"/>
      <c r="X192" s="45"/>
      <c r="Y192" s="45"/>
      <c r="Z192" s="45"/>
      <c r="AA192" s="142"/>
      <c r="AB192" s="142"/>
      <c r="AC192" s="45"/>
      <c r="AD192" s="45"/>
      <c r="AE192" s="178"/>
      <c r="AF192" s="178"/>
      <c r="AG192" s="45"/>
      <c r="AH192" s="45"/>
      <c r="AI192" s="142"/>
      <c r="AJ192" s="142"/>
      <c r="AK192" s="45"/>
      <c r="AL192" s="45"/>
      <c r="AM192" s="178"/>
      <c r="AN192" s="178"/>
      <c r="AO192" s="153"/>
      <c r="AP192" s="153"/>
      <c r="AQ192" s="136"/>
      <c r="AR192" s="136"/>
      <c r="AS192" s="153"/>
      <c r="AT192" s="153"/>
      <c r="AU192" s="153"/>
      <c r="AV192" s="153"/>
      <c r="AW192" s="153"/>
      <c r="AX192" s="153"/>
      <c r="AY192" s="153"/>
      <c r="AZ192" s="153"/>
      <c r="BA192" s="153"/>
      <c r="BB192" s="155"/>
      <c r="BC192" s="321"/>
      <c r="BD192" s="322"/>
    </row>
    <row r="193" spans="1:56" ht="15.75" thickBot="1">
      <c r="A193" s="318"/>
      <c r="B193" s="320"/>
      <c r="C193" s="51"/>
      <c r="D193" s="51">
        <f t="shared" si="10"/>
        <v>0</v>
      </c>
      <c r="E193" s="51"/>
      <c r="F193" s="46" t="s">
        <v>36</v>
      </c>
      <c r="G193" s="51">
        <v>11</v>
      </c>
      <c r="H193" s="46">
        <f t="shared" si="9"/>
        <v>11</v>
      </c>
      <c r="I193" s="46"/>
      <c r="J193" s="46" t="s">
        <v>37</v>
      </c>
      <c r="K193" s="180"/>
      <c r="L193" s="46"/>
      <c r="M193" s="46"/>
      <c r="N193" s="180"/>
      <c r="O193" s="180"/>
      <c r="P193" s="46"/>
      <c r="Q193" s="46"/>
      <c r="R193" s="138"/>
      <c r="S193" s="138"/>
      <c r="T193" s="46"/>
      <c r="U193" s="46"/>
      <c r="V193" s="180"/>
      <c r="W193" s="180"/>
      <c r="X193" s="46"/>
      <c r="Y193" s="46"/>
      <c r="Z193" s="46"/>
      <c r="AA193" s="144"/>
      <c r="AB193" s="144"/>
      <c r="AC193" s="46"/>
      <c r="AD193" s="46"/>
      <c r="AE193" s="180"/>
      <c r="AF193" s="180"/>
      <c r="AG193" s="46"/>
      <c r="AH193" s="46"/>
      <c r="AI193" s="144"/>
      <c r="AJ193" s="144"/>
      <c r="AK193" s="46"/>
      <c r="AL193" s="46"/>
      <c r="AM193" s="180"/>
      <c r="AN193" s="180"/>
      <c r="AO193" s="46"/>
      <c r="AP193" s="46"/>
      <c r="AQ193" s="144"/>
      <c r="AR193" s="144"/>
      <c r="AS193" s="46"/>
      <c r="AT193" s="46"/>
      <c r="AU193" s="180"/>
      <c r="AV193" s="180"/>
      <c r="AW193" s="180"/>
      <c r="AX193" s="180"/>
      <c r="AY193" s="180"/>
      <c r="AZ193" s="46"/>
      <c r="BA193" s="180"/>
      <c r="BB193" s="248"/>
      <c r="BC193" s="323"/>
      <c r="BD193" s="324"/>
    </row>
    <row r="194" spans="1:56" ht="15.75" thickTop="1"/>
  </sheetData>
  <mergeCells count="214">
    <mergeCell ref="F2:J2"/>
    <mergeCell ref="J68:J69"/>
    <mergeCell ref="BC1:BD5"/>
    <mergeCell ref="A48:A51"/>
    <mergeCell ref="B48:B51"/>
    <mergeCell ref="A52:A57"/>
    <mergeCell ref="B52:B57"/>
    <mergeCell ref="A6:A11"/>
    <mergeCell ref="A12:A17"/>
    <mergeCell ref="A18:A29"/>
    <mergeCell ref="A30:A35"/>
    <mergeCell ref="B30:B35"/>
    <mergeCell ref="B36:B41"/>
    <mergeCell ref="A36:A41"/>
    <mergeCell ref="A1:A5"/>
    <mergeCell ref="B1:B5"/>
    <mergeCell ref="C1:C5"/>
    <mergeCell ref="D1:D5"/>
    <mergeCell ref="E1:E5"/>
    <mergeCell ref="C30:C35"/>
    <mergeCell ref="C36:C41"/>
    <mergeCell ref="C42:C47"/>
    <mergeCell ref="A42:A47"/>
    <mergeCell ref="I4:I5"/>
    <mergeCell ref="B6:B11"/>
    <mergeCell ref="B12:B17"/>
    <mergeCell ref="C12:C17"/>
    <mergeCell ref="B18:B29"/>
    <mergeCell ref="C27:C29"/>
    <mergeCell ref="C24:C26"/>
    <mergeCell ref="C21:C23"/>
    <mergeCell ref="C18:C20"/>
    <mergeCell ref="A98:A110"/>
    <mergeCell ref="B98:B110"/>
    <mergeCell ref="A86:A91"/>
    <mergeCell ref="B86:B91"/>
    <mergeCell ref="C86:C91"/>
    <mergeCell ref="A92:A97"/>
    <mergeCell ref="A74:A79"/>
    <mergeCell ref="B74:B79"/>
    <mergeCell ref="B58:B63"/>
    <mergeCell ref="B70:B73"/>
    <mergeCell ref="A80:A85"/>
    <mergeCell ref="A58:A63"/>
    <mergeCell ref="A64:A73"/>
    <mergeCell ref="B64:B69"/>
    <mergeCell ref="C64:C65"/>
    <mergeCell ref="F3:J3"/>
    <mergeCell ref="C101:C103"/>
    <mergeCell ref="C6:C7"/>
    <mergeCell ref="J6:J8"/>
    <mergeCell ref="C9:C10"/>
    <mergeCell ref="J9:J11"/>
    <mergeCell ref="J12:J14"/>
    <mergeCell ref="J15:J17"/>
    <mergeCell ref="J42:J44"/>
    <mergeCell ref="J45:J47"/>
    <mergeCell ref="J48:J49"/>
    <mergeCell ref="J52:J54"/>
    <mergeCell ref="J55:J57"/>
    <mergeCell ref="J98:J107"/>
    <mergeCell ref="C104:C106"/>
    <mergeCell ref="C48:C51"/>
    <mergeCell ref="J64:J67"/>
    <mergeCell ref="C55:C57"/>
    <mergeCell ref="C74:C76"/>
    <mergeCell ref="J4:J5"/>
    <mergeCell ref="C52:C54"/>
    <mergeCell ref="J74:J76"/>
    <mergeCell ref="J77:J79"/>
    <mergeCell ref="J80:J82"/>
    <mergeCell ref="B138:B143"/>
    <mergeCell ref="C138:C143"/>
    <mergeCell ref="J138:J140"/>
    <mergeCell ref="C77:C79"/>
    <mergeCell ref="C68:C69"/>
    <mergeCell ref="A122:A127"/>
    <mergeCell ref="B122:B127"/>
    <mergeCell ref="C122:C123"/>
    <mergeCell ref="J122:J124"/>
    <mergeCell ref="A119:A120"/>
    <mergeCell ref="B119:B120"/>
    <mergeCell ref="A111:A116"/>
    <mergeCell ref="B111:B116"/>
    <mergeCell ref="A117:A118"/>
    <mergeCell ref="B117:B118"/>
    <mergeCell ref="J18:J23"/>
    <mergeCell ref="J24:J29"/>
    <mergeCell ref="J30:J32"/>
    <mergeCell ref="B42:B47"/>
    <mergeCell ref="J114:J116"/>
    <mergeCell ref="J111:J113"/>
    <mergeCell ref="J92:J94"/>
    <mergeCell ref="J95:J97"/>
    <mergeCell ref="J108:J110"/>
    <mergeCell ref="B92:B97"/>
    <mergeCell ref="C114:C116"/>
    <mergeCell ref="C111:C113"/>
    <mergeCell ref="C108:C110"/>
    <mergeCell ref="J86:J88"/>
    <mergeCell ref="J89:J91"/>
    <mergeCell ref="B80:B85"/>
    <mergeCell ref="J33:J35"/>
    <mergeCell ref="J36:J38"/>
    <mergeCell ref="J39:J41"/>
    <mergeCell ref="BC138:BD140"/>
    <mergeCell ref="J141:J143"/>
    <mergeCell ref="BC141:BD143"/>
    <mergeCell ref="C92:C97"/>
    <mergeCell ref="C98:C100"/>
    <mergeCell ref="J58:J60"/>
    <mergeCell ref="C70:C73"/>
    <mergeCell ref="C66:C67"/>
    <mergeCell ref="C187:C189"/>
    <mergeCell ref="BC160:BD161"/>
    <mergeCell ref="BC162:BD163"/>
    <mergeCell ref="BC144:BD146"/>
    <mergeCell ref="BC147:BD149"/>
    <mergeCell ref="BC150:BD153"/>
    <mergeCell ref="C154:C159"/>
    <mergeCell ref="J154:J156"/>
    <mergeCell ref="BC154:BD156"/>
    <mergeCell ref="J157:J159"/>
    <mergeCell ref="BC157:BD159"/>
    <mergeCell ref="C58:C63"/>
    <mergeCell ref="J83:J85"/>
    <mergeCell ref="C80:C85"/>
    <mergeCell ref="J61:J63"/>
    <mergeCell ref="J70:J71"/>
    <mergeCell ref="A144:A149"/>
    <mergeCell ref="B144:B149"/>
    <mergeCell ref="C144:C149"/>
    <mergeCell ref="J144:J146"/>
    <mergeCell ref="A138:A143"/>
    <mergeCell ref="A176:A177"/>
    <mergeCell ref="B176:B177"/>
    <mergeCell ref="C176:C177"/>
    <mergeCell ref="J176:J177"/>
    <mergeCell ref="A160:A163"/>
    <mergeCell ref="B160:B163"/>
    <mergeCell ref="C160:C163"/>
    <mergeCell ref="J160:J161"/>
    <mergeCell ref="J147:J149"/>
    <mergeCell ref="J162:J163"/>
    <mergeCell ref="A164:A169"/>
    <mergeCell ref="B164:B169"/>
    <mergeCell ref="C164:C169"/>
    <mergeCell ref="A150:A153"/>
    <mergeCell ref="B150:B153"/>
    <mergeCell ref="C150:C153"/>
    <mergeCell ref="J150:J151"/>
    <mergeCell ref="A154:A159"/>
    <mergeCell ref="B154:B159"/>
    <mergeCell ref="BC122:BD127"/>
    <mergeCell ref="C125:C126"/>
    <mergeCell ref="J125:J127"/>
    <mergeCell ref="A128:A137"/>
    <mergeCell ref="B128:B137"/>
    <mergeCell ref="C128:C130"/>
    <mergeCell ref="J128:J132"/>
    <mergeCell ref="BC128:BD132"/>
    <mergeCell ref="C131:C132"/>
    <mergeCell ref="C133:C135"/>
    <mergeCell ref="J133:J137"/>
    <mergeCell ref="BC133:BD137"/>
    <mergeCell ref="C136:C137"/>
    <mergeCell ref="A190:A191"/>
    <mergeCell ref="B190:B191"/>
    <mergeCell ref="BC190:BD191"/>
    <mergeCell ref="J164:J166"/>
    <mergeCell ref="BC164:BD166"/>
    <mergeCell ref="J167:J169"/>
    <mergeCell ref="BC167:BD169"/>
    <mergeCell ref="A170:A173"/>
    <mergeCell ref="B170:B173"/>
    <mergeCell ref="C170:C173"/>
    <mergeCell ref="J170:J171"/>
    <mergeCell ref="BC170:BD171"/>
    <mergeCell ref="J172:J173"/>
    <mergeCell ref="BC172:BD173"/>
    <mergeCell ref="BC176:BD177"/>
    <mergeCell ref="A178:A189"/>
    <mergeCell ref="B178:B189"/>
    <mergeCell ref="C178:C180"/>
    <mergeCell ref="J178:J183"/>
    <mergeCell ref="A174:A175"/>
    <mergeCell ref="B174:B175"/>
    <mergeCell ref="C174:C175"/>
    <mergeCell ref="BC174:BD175"/>
    <mergeCell ref="BC184:BD189"/>
    <mergeCell ref="A192:A193"/>
    <mergeCell ref="B192:B193"/>
    <mergeCell ref="BC192:BD193"/>
    <mergeCell ref="A121:BD121"/>
    <mergeCell ref="BC6:BD11"/>
    <mergeCell ref="BC12:BD17"/>
    <mergeCell ref="BC18:BD29"/>
    <mergeCell ref="BC30:BD35"/>
    <mergeCell ref="BC36:BD41"/>
    <mergeCell ref="BC42:BD47"/>
    <mergeCell ref="BC48:BD51"/>
    <mergeCell ref="BC52:BD57"/>
    <mergeCell ref="BC58:BD63"/>
    <mergeCell ref="BC64:BD73"/>
    <mergeCell ref="BC74:BD79"/>
    <mergeCell ref="BC80:BD85"/>
    <mergeCell ref="BC86:BD91"/>
    <mergeCell ref="BC92:BD97"/>
    <mergeCell ref="BC98:BD110"/>
    <mergeCell ref="BC111:BD116"/>
    <mergeCell ref="BC178:BD183"/>
    <mergeCell ref="C181:C183"/>
    <mergeCell ref="C184:C186"/>
    <mergeCell ref="J184:J189"/>
  </mergeCells>
  <conditionalFormatting sqref="L5:M5 P5:Q5 T5:U5 X5:Z5 AC5:AD5">
    <cfRule type="colorScale" priority="1">
      <colorScale>
        <cfvo type="min"/>
        <cfvo type="num" val="0"/>
        <cfvo type="max"/>
        <color rgb="FFF8696B"/>
        <color rgb="FFFFEB84"/>
        <color rgb="FF63BE7B"/>
      </colorScale>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C0B0-037B-433D-ADBF-B834A9B17AAF}">
  <dimension ref="A1:BH90"/>
  <sheetViews>
    <sheetView zoomScale="85" zoomScaleNormal="85" workbookViewId="0">
      <pane xSplit="10" ySplit="5" topLeftCell="K6" activePane="bottomRight" state="frozen"/>
      <selection pane="topRight" activeCell="K1" sqref="K1"/>
      <selection pane="bottomLeft" activeCell="A6" sqref="A6"/>
      <selection pane="bottomRight" activeCell="C14" sqref="C14:C15"/>
    </sheetView>
  </sheetViews>
  <sheetFormatPr baseColWidth="10" defaultColWidth="11.42578125" defaultRowHeight="15"/>
  <cols>
    <col min="1" max="2" width="17.42578125" style="2" customWidth="1"/>
    <col min="3" max="3" width="17.85546875" style="14" customWidth="1"/>
    <col min="4" max="4" width="7.85546875" style="2" customWidth="1"/>
    <col min="5" max="5" width="3.42578125" style="2" customWidth="1"/>
    <col min="6" max="6" width="11.42578125" style="2" customWidth="1"/>
    <col min="7" max="8" width="6.5703125" style="2" customWidth="1"/>
    <col min="9" max="9" width="7.85546875" style="2" customWidth="1"/>
    <col min="10" max="10" width="11.42578125" style="2" customWidth="1"/>
    <col min="11" max="54" width="5.5703125" style="2" customWidth="1"/>
    <col min="55" max="55" width="11.42578125" style="2" customWidth="1"/>
    <col min="56" max="56" width="30.42578125" style="2" customWidth="1"/>
    <col min="57" max="16384" width="11.42578125" style="2"/>
  </cols>
  <sheetData>
    <row r="1" spans="1:56" ht="119.25" customHeight="1">
      <c r="A1" s="388" t="s">
        <v>230</v>
      </c>
      <c r="B1" s="390" t="s">
        <v>1</v>
      </c>
      <c r="C1" s="390" t="s">
        <v>2</v>
      </c>
      <c r="D1" s="392" t="s">
        <v>137</v>
      </c>
      <c r="E1" s="394" t="s">
        <v>138</v>
      </c>
      <c r="F1" s="41"/>
      <c r="G1" s="61" t="s">
        <v>5</v>
      </c>
      <c r="H1" s="61" t="s">
        <v>6</v>
      </c>
      <c r="I1" s="61"/>
      <c r="J1" s="60"/>
      <c r="K1" s="96" t="s">
        <v>7</v>
      </c>
      <c r="L1" s="78"/>
      <c r="M1" s="78"/>
      <c r="N1" s="270"/>
      <c r="O1" s="270"/>
      <c r="P1" s="78"/>
      <c r="Q1" s="78"/>
      <c r="R1" s="194" t="s">
        <v>8</v>
      </c>
      <c r="S1" s="194" t="s">
        <v>9</v>
      </c>
      <c r="T1" s="98"/>
      <c r="U1" s="78" t="s">
        <v>231</v>
      </c>
      <c r="V1" s="210"/>
      <c r="W1" s="210"/>
      <c r="X1" s="79"/>
      <c r="Y1" s="75"/>
      <c r="Z1" s="210"/>
      <c r="AA1" s="196" t="s">
        <v>10</v>
      </c>
      <c r="AB1" s="197" t="s">
        <v>11</v>
      </c>
      <c r="AC1" s="79"/>
      <c r="AD1" s="99"/>
      <c r="AE1" s="172"/>
      <c r="AF1" s="210"/>
      <c r="AG1" s="79"/>
      <c r="AH1" s="79"/>
      <c r="AI1" s="189" t="s">
        <v>14</v>
      </c>
      <c r="AJ1" s="189" t="s">
        <v>15</v>
      </c>
      <c r="AK1" s="172" t="s">
        <v>232</v>
      </c>
      <c r="AL1" s="172"/>
      <c r="AM1" s="210"/>
      <c r="AN1" s="210"/>
      <c r="AO1" s="79"/>
      <c r="AP1" s="210"/>
      <c r="AQ1" s="189" t="s">
        <v>16</v>
      </c>
      <c r="AR1" s="189" t="s">
        <v>17</v>
      </c>
      <c r="AS1" s="214" t="s">
        <v>18</v>
      </c>
      <c r="AT1" s="214" t="s">
        <v>19</v>
      </c>
      <c r="AU1" s="215" t="s">
        <v>20</v>
      </c>
      <c r="AV1" s="210"/>
      <c r="AW1" s="172" t="s">
        <v>21</v>
      </c>
      <c r="AX1" s="216"/>
      <c r="AY1" s="256" t="s">
        <v>233</v>
      </c>
      <c r="AZ1" s="78" t="s">
        <v>22</v>
      </c>
      <c r="BA1" s="172"/>
      <c r="BB1" s="172" t="s">
        <v>23</v>
      </c>
      <c r="BC1" s="514" t="s">
        <v>26</v>
      </c>
      <c r="BD1" s="515"/>
    </row>
    <row r="2" spans="1:56" ht="21.95" customHeight="1">
      <c r="A2" s="389"/>
      <c r="B2" s="391"/>
      <c r="C2" s="391"/>
      <c r="D2" s="393"/>
      <c r="E2" s="395"/>
      <c r="F2" s="379" t="s">
        <v>24</v>
      </c>
      <c r="G2" s="380"/>
      <c r="H2" s="380"/>
      <c r="I2" s="380"/>
      <c r="J2" s="381"/>
      <c r="K2" s="80">
        <v>1</v>
      </c>
      <c r="L2" s="81">
        <v>2</v>
      </c>
      <c r="M2" s="81">
        <v>3</v>
      </c>
      <c r="N2" s="271">
        <v>4</v>
      </c>
      <c r="O2" s="271">
        <v>5</v>
      </c>
      <c r="P2" s="81">
        <v>6</v>
      </c>
      <c r="Q2" s="80">
        <v>7</v>
      </c>
      <c r="R2" s="195"/>
      <c r="S2" s="195"/>
      <c r="T2" s="83">
        <v>8</v>
      </c>
      <c r="U2" s="84">
        <v>9</v>
      </c>
      <c r="V2" s="211">
        <v>10</v>
      </c>
      <c r="W2" s="212">
        <v>11</v>
      </c>
      <c r="X2" s="83">
        <v>12</v>
      </c>
      <c r="Y2" s="84">
        <v>13</v>
      </c>
      <c r="Z2" s="211">
        <v>14</v>
      </c>
      <c r="AA2" s="198"/>
      <c r="AB2" s="199"/>
      <c r="AC2" s="84">
        <v>15</v>
      </c>
      <c r="AD2" s="80">
        <v>16</v>
      </c>
      <c r="AE2" s="212">
        <v>17</v>
      </c>
      <c r="AF2" s="173">
        <v>18</v>
      </c>
      <c r="AG2" s="84">
        <v>19</v>
      </c>
      <c r="AH2" s="80">
        <v>20</v>
      </c>
      <c r="AI2" s="199"/>
      <c r="AJ2" s="199"/>
      <c r="AK2" s="212">
        <v>21</v>
      </c>
      <c r="AL2" s="212">
        <v>22</v>
      </c>
      <c r="AM2" s="212">
        <v>23</v>
      </c>
      <c r="AN2" s="212">
        <v>24</v>
      </c>
      <c r="AO2" s="84">
        <v>25</v>
      </c>
      <c r="AP2" s="212">
        <v>26</v>
      </c>
      <c r="AQ2" s="199"/>
      <c r="AR2" s="199"/>
      <c r="AS2" s="174">
        <v>27</v>
      </c>
      <c r="AT2" s="174">
        <v>28</v>
      </c>
      <c r="AU2" s="174">
        <v>29</v>
      </c>
      <c r="AV2" s="174">
        <v>30</v>
      </c>
      <c r="AW2" s="174">
        <v>31</v>
      </c>
      <c r="AX2" s="174">
        <v>32</v>
      </c>
      <c r="AY2" s="174">
        <v>33</v>
      </c>
      <c r="AZ2" s="81">
        <v>34</v>
      </c>
      <c r="BA2" s="174">
        <v>35</v>
      </c>
      <c r="BB2" s="212"/>
      <c r="BC2" s="516"/>
      <c r="BD2" s="517"/>
    </row>
    <row r="3" spans="1:56" ht="14.45" customHeight="1">
      <c r="A3" s="389"/>
      <c r="B3" s="391"/>
      <c r="C3" s="391"/>
      <c r="D3" s="393"/>
      <c r="E3" s="395"/>
      <c r="F3" s="379" t="s">
        <v>25</v>
      </c>
      <c r="G3" s="380"/>
      <c r="H3" s="380"/>
      <c r="I3" s="380"/>
      <c r="J3" s="381"/>
      <c r="K3" s="34">
        <v>36</v>
      </c>
      <c r="L3" s="34">
        <v>37</v>
      </c>
      <c r="M3" s="34">
        <v>38</v>
      </c>
      <c r="N3" s="276">
        <v>39</v>
      </c>
      <c r="O3" s="276">
        <v>40</v>
      </c>
      <c r="P3" s="34">
        <v>41</v>
      </c>
      <c r="Q3" s="34">
        <v>42</v>
      </c>
      <c r="R3" s="277">
        <v>43</v>
      </c>
      <c r="S3" s="277">
        <v>44</v>
      </c>
      <c r="T3" s="34">
        <v>45</v>
      </c>
      <c r="U3" s="34">
        <v>46</v>
      </c>
      <c r="V3" s="276">
        <v>47</v>
      </c>
      <c r="W3" s="276">
        <v>48</v>
      </c>
      <c r="X3" s="34">
        <v>49</v>
      </c>
      <c r="Y3" s="34">
        <v>50</v>
      </c>
      <c r="Z3" s="276">
        <v>51</v>
      </c>
      <c r="AA3" s="277">
        <v>52</v>
      </c>
      <c r="AB3" s="277">
        <v>1</v>
      </c>
      <c r="AC3" s="34">
        <v>2</v>
      </c>
      <c r="AD3" s="34">
        <v>3</v>
      </c>
      <c r="AE3" s="278">
        <v>4</v>
      </c>
      <c r="AF3" s="278">
        <v>5</v>
      </c>
      <c r="AG3" s="4">
        <v>6</v>
      </c>
      <c r="AH3" s="4">
        <v>7</v>
      </c>
      <c r="AI3" s="279">
        <v>8</v>
      </c>
      <c r="AJ3" s="279">
        <v>9</v>
      </c>
      <c r="AK3" s="278">
        <v>10</v>
      </c>
      <c r="AL3" s="278">
        <v>11</v>
      </c>
      <c r="AM3" s="278">
        <v>12</v>
      </c>
      <c r="AN3" s="278">
        <v>13</v>
      </c>
      <c r="AO3" s="4">
        <v>14</v>
      </c>
      <c r="AP3" s="278">
        <v>15</v>
      </c>
      <c r="AQ3" s="279">
        <v>16</v>
      </c>
      <c r="AR3" s="279">
        <v>17</v>
      </c>
      <c r="AS3" s="278">
        <v>18</v>
      </c>
      <c r="AT3" s="278">
        <v>19</v>
      </c>
      <c r="AU3" s="278">
        <v>20</v>
      </c>
      <c r="AV3" s="278">
        <v>21</v>
      </c>
      <c r="AW3" s="278">
        <v>22</v>
      </c>
      <c r="AX3" s="278">
        <v>23</v>
      </c>
      <c r="AY3" s="278">
        <v>24</v>
      </c>
      <c r="AZ3" s="4">
        <v>25</v>
      </c>
      <c r="BA3" s="278">
        <v>26</v>
      </c>
      <c r="BB3" s="278">
        <v>27</v>
      </c>
      <c r="BC3" s="516"/>
      <c r="BD3" s="517"/>
    </row>
    <row r="4" spans="1:56" ht="14.45" customHeight="1">
      <c r="A4" s="389" t="s">
        <v>139</v>
      </c>
      <c r="B4" s="391"/>
      <c r="C4" s="391"/>
      <c r="D4" s="393"/>
      <c r="E4" s="395"/>
      <c r="F4" s="289" t="s">
        <v>35</v>
      </c>
      <c r="G4" s="64">
        <f>(SUMIF($E$6:$E$79,"=0",G6:G79)+SUMIF($E$6:$E$79,"=2",G6:G79))/20</f>
        <v>22.425000000000001</v>
      </c>
      <c r="H4" s="64">
        <f>SUM(K4:AH4)/20</f>
        <v>19.675000000000001</v>
      </c>
      <c r="I4" s="477" t="s">
        <v>28</v>
      </c>
      <c r="J4" s="518" t="s">
        <v>140</v>
      </c>
      <c r="K4" s="5">
        <f>SUMIF($E$6:$E$83,"=0",K6:K83)+SUMIF($E$6:$E$83,"=2",K6:K83)</f>
        <v>18.5</v>
      </c>
      <c r="L4" s="5">
        <f t="shared" ref="L4:BB4" si="0">SUMIF($E$6:$E$83,"=0",L6:L83)+SUMIF($E$6:$E$83,"=2",L6:L83)</f>
        <v>28</v>
      </c>
      <c r="M4" s="5">
        <f t="shared" si="0"/>
        <v>23</v>
      </c>
      <c r="N4" s="280">
        <f t="shared" si="0"/>
        <v>4.5</v>
      </c>
      <c r="O4" s="280">
        <f t="shared" si="0"/>
        <v>1.5</v>
      </c>
      <c r="P4" s="5">
        <f t="shared" si="0"/>
        <v>23</v>
      </c>
      <c r="Q4" s="5">
        <f t="shared" si="0"/>
        <v>30</v>
      </c>
      <c r="R4" s="281">
        <f t="shared" si="0"/>
        <v>0</v>
      </c>
      <c r="S4" s="281">
        <f t="shared" si="0"/>
        <v>0</v>
      </c>
      <c r="T4" s="5">
        <f t="shared" si="0"/>
        <v>28.5</v>
      </c>
      <c r="U4" s="5">
        <f t="shared" si="0"/>
        <v>24</v>
      </c>
      <c r="V4" s="280">
        <f t="shared" si="0"/>
        <v>18</v>
      </c>
      <c r="W4" s="280">
        <f t="shared" si="0"/>
        <v>16.5</v>
      </c>
      <c r="X4" s="5">
        <f t="shared" si="0"/>
        <v>19.5</v>
      </c>
      <c r="Y4" s="5">
        <f t="shared" si="0"/>
        <v>13.5</v>
      </c>
      <c r="Z4" s="280">
        <f t="shared" si="0"/>
        <v>15</v>
      </c>
      <c r="AA4" s="281">
        <f t="shared" si="0"/>
        <v>0</v>
      </c>
      <c r="AB4" s="281">
        <f t="shared" si="0"/>
        <v>0</v>
      </c>
      <c r="AC4" s="5">
        <f t="shared" si="0"/>
        <v>12</v>
      </c>
      <c r="AD4" s="5">
        <f t="shared" si="0"/>
        <v>18.5</v>
      </c>
      <c r="AE4" s="280">
        <f t="shared" si="0"/>
        <v>22.5</v>
      </c>
      <c r="AF4" s="280">
        <f t="shared" si="0"/>
        <v>21</v>
      </c>
      <c r="AG4" s="5">
        <f t="shared" si="0"/>
        <v>29.5</v>
      </c>
      <c r="AH4" s="5">
        <f t="shared" si="0"/>
        <v>26.5</v>
      </c>
      <c r="AI4" s="281">
        <f t="shared" si="0"/>
        <v>0</v>
      </c>
      <c r="AJ4" s="281">
        <f t="shared" si="0"/>
        <v>0</v>
      </c>
      <c r="AK4" s="280">
        <f t="shared" si="0"/>
        <v>0</v>
      </c>
      <c r="AL4" s="280">
        <f t="shared" si="0"/>
        <v>0</v>
      </c>
      <c r="AM4" s="280">
        <f t="shared" si="0"/>
        <v>0</v>
      </c>
      <c r="AN4" s="280">
        <f t="shared" si="0"/>
        <v>0</v>
      </c>
      <c r="AO4" s="5">
        <f t="shared" si="0"/>
        <v>19.5</v>
      </c>
      <c r="AP4" s="280">
        <f t="shared" si="0"/>
        <v>0</v>
      </c>
      <c r="AQ4" s="281">
        <f t="shared" si="0"/>
        <v>0</v>
      </c>
      <c r="AR4" s="281">
        <f t="shared" si="0"/>
        <v>0</v>
      </c>
      <c r="AS4" s="280">
        <f t="shared" si="0"/>
        <v>0</v>
      </c>
      <c r="AT4" s="280">
        <f t="shared" si="0"/>
        <v>0</v>
      </c>
      <c r="AU4" s="280">
        <f t="shared" si="0"/>
        <v>0</v>
      </c>
      <c r="AV4" s="280">
        <f t="shared" si="0"/>
        <v>0</v>
      </c>
      <c r="AW4" s="280">
        <f t="shared" si="0"/>
        <v>0</v>
      </c>
      <c r="AX4" s="280">
        <f t="shared" si="0"/>
        <v>0</v>
      </c>
      <c r="AY4" s="280">
        <f t="shared" si="0"/>
        <v>0</v>
      </c>
      <c r="AZ4" s="5">
        <f t="shared" si="0"/>
        <v>19.5</v>
      </c>
      <c r="BA4" s="280">
        <f t="shared" si="0"/>
        <v>0</v>
      </c>
      <c r="BB4" s="280">
        <f t="shared" si="0"/>
        <v>0</v>
      </c>
      <c r="BC4" s="516"/>
      <c r="BD4" s="517"/>
    </row>
    <row r="5" spans="1:56" ht="15" customHeight="1" thickBot="1">
      <c r="A5" s="389"/>
      <c r="B5" s="391"/>
      <c r="C5" s="391"/>
      <c r="D5" s="393"/>
      <c r="E5" s="395"/>
      <c r="F5" s="290" t="s">
        <v>37</v>
      </c>
      <c r="G5" s="65">
        <f>(SUMIF($E$6:$E$79,"=1",G6:G79)+SUMIF($E$6:$E$79,"=2",G6:G79))/15</f>
        <v>29.9</v>
      </c>
      <c r="H5" s="64">
        <f>SUM(K5:BB5)/15</f>
        <v>28.833333333333332</v>
      </c>
      <c r="I5" s="479"/>
      <c r="J5" s="519"/>
      <c r="K5" s="13">
        <f>SUMIF($E$6:$E$83,"=1",K6:K83)+SUMIF($E$6:$E$83,"=2",K6:K83)</f>
        <v>18.5</v>
      </c>
      <c r="L5" s="13">
        <f t="shared" ref="L5:BB5" si="1">SUMIF($E$6:$E$83,"=1",L6:L83)+SUMIF($E$6:$E$83,"=2",L6:L83)</f>
        <v>28</v>
      </c>
      <c r="M5" s="13">
        <f t="shared" si="1"/>
        <v>23</v>
      </c>
      <c r="N5" s="282">
        <f t="shared" si="1"/>
        <v>0</v>
      </c>
      <c r="O5" s="282">
        <f t="shared" si="1"/>
        <v>0</v>
      </c>
      <c r="P5" s="13">
        <f t="shared" si="1"/>
        <v>23</v>
      </c>
      <c r="Q5" s="13">
        <f t="shared" si="1"/>
        <v>30</v>
      </c>
      <c r="R5" s="283">
        <f t="shared" si="1"/>
        <v>0</v>
      </c>
      <c r="S5" s="283">
        <f t="shared" si="1"/>
        <v>0</v>
      </c>
      <c r="T5" s="13">
        <f t="shared" si="1"/>
        <v>28.5</v>
      </c>
      <c r="U5" s="13">
        <f t="shared" si="1"/>
        <v>30</v>
      </c>
      <c r="V5" s="282">
        <f t="shared" si="1"/>
        <v>0</v>
      </c>
      <c r="W5" s="282">
        <f t="shared" si="1"/>
        <v>0</v>
      </c>
      <c r="X5" s="13">
        <f t="shared" si="1"/>
        <v>31.5</v>
      </c>
      <c r="Y5" s="13">
        <f t="shared" si="1"/>
        <v>31.5</v>
      </c>
      <c r="Z5" s="282">
        <f t="shared" si="1"/>
        <v>0</v>
      </c>
      <c r="AA5" s="283">
        <f t="shared" si="1"/>
        <v>0</v>
      </c>
      <c r="AB5" s="283">
        <f t="shared" si="1"/>
        <v>0</v>
      </c>
      <c r="AC5" s="13">
        <f t="shared" si="1"/>
        <v>24</v>
      </c>
      <c r="AD5" s="13">
        <f t="shared" si="1"/>
        <v>29</v>
      </c>
      <c r="AE5" s="282">
        <f t="shared" si="1"/>
        <v>7.5</v>
      </c>
      <c r="AF5" s="282">
        <f t="shared" si="1"/>
        <v>9</v>
      </c>
      <c r="AG5" s="13">
        <f t="shared" si="1"/>
        <v>31</v>
      </c>
      <c r="AH5" s="13">
        <f t="shared" si="1"/>
        <v>19</v>
      </c>
      <c r="AI5" s="283">
        <f t="shared" si="1"/>
        <v>0</v>
      </c>
      <c r="AJ5" s="283">
        <f t="shared" si="1"/>
        <v>0</v>
      </c>
      <c r="AK5" s="282">
        <f t="shared" si="1"/>
        <v>0</v>
      </c>
      <c r="AL5" s="282">
        <f t="shared" si="1"/>
        <v>0</v>
      </c>
      <c r="AM5" s="282">
        <f t="shared" si="1"/>
        <v>0</v>
      </c>
      <c r="AN5" s="282">
        <f t="shared" si="1"/>
        <v>0</v>
      </c>
      <c r="AO5" s="13">
        <f t="shared" si="1"/>
        <v>34.5</v>
      </c>
      <c r="AP5" s="282">
        <f t="shared" si="1"/>
        <v>0</v>
      </c>
      <c r="AQ5" s="283">
        <f t="shared" si="1"/>
        <v>0</v>
      </c>
      <c r="AR5" s="283">
        <f t="shared" si="1"/>
        <v>0</v>
      </c>
      <c r="AS5" s="282">
        <f t="shared" si="1"/>
        <v>0</v>
      </c>
      <c r="AT5" s="282">
        <f t="shared" si="1"/>
        <v>0</v>
      </c>
      <c r="AU5" s="282">
        <f t="shared" si="1"/>
        <v>0</v>
      </c>
      <c r="AV5" s="282">
        <f t="shared" si="1"/>
        <v>0</v>
      </c>
      <c r="AW5" s="282">
        <f t="shared" si="1"/>
        <v>0</v>
      </c>
      <c r="AX5" s="282">
        <f t="shared" si="1"/>
        <v>0</v>
      </c>
      <c r="AY5" s="282">
        <f t="shared" si="1"/>
        <v>0</v>
      </c>
      <c r="AZ5" s="13">
        <f t="shared" si="1"/>
        <v>34.5</v>
      </c>
      <c r="BA5" s="282">
        <f t="shared" si="1"/>
        <v>0</v>
      </c>
      <c r="BB5" s="282">
        <f t="shared" si="1"/>
        <v>0</v>
      </c>
      <c r="BC5" s="516"/>
      <c r="BD5" s="517"/>
    </row>
    <row r="6" spans="1:56" ht="15" customHeight="1" thickTop="1">
      <c r="A6" s="452" t="s">
        <v>234</v>
      </c>
      <c r="B6" s="508" t="s">
        <v>235</v>
      </c>
      <c r="C6" s="426" t="s">
        <v>201</v>
      </c>
      <c r="D6" s="17">
        <f>COUNT(K6:BA6)</f>
        <v>7</v>
      </c>
      <c r="E6" s="17">
        <v>2</v>
      </c>
      <c r="F6" s="15" t="s">
        <v>33</v>
      </c>
      <c r="G6" s="23">
        <v>10.5</v>
      </c>
      <c r="H6" s="23">
        <f>G6-SUM(K6:BB6)</f>
        <v>0</v>
      </c>
      <c r="I6" s="17" t="s">
        <v>34</v>
      </c>
      <c r="J6" s="495" t="s">
        <v>74</v>
      </c>
      <c r="K6" s="23"/>
      <c r="L6" s="23">
        <v>1.5</v>
      </c>
      <c r="M6" s="23">
        <v>1.5</v>
      </c>
      <c r="N6" s="200"/>
      <c r="O6" s="200"/>
      <c r="P6" s="23">
        <v>1.5</v>
      </c>
      <c r="Q6" s="23">
        <v>1.5</v>
      </c>
      <c r="R6" s="89"/>
      <c r="S6" s="89"/>
      <c r="T6" s="23">
        <v>1.5</v>
      </c>
      <c r="U6" s="23">
        <v>1.5</v>
      </c>
      <c r="V6" s="200"/>
      <c r="W6" s="200"/>
      <c r="X6" s="23">
        <v>1.5</v>
      </c>
      <c r="Y6" s="23"/>
      <c r="Z6" s="200"/>
      <c r="AA6" s="89"/>
      <c r="AB6" s="89"/>
      <c r="AC6" s="23"/>
      <c r="AD6" s="23"/>
      <c r="AE6" s="200"/>
      <c r="AF6" s="200"/>
      <c r="AG6" s="23"/>
      <c r="AH6" s="23"/>
      <c r="AI6" s="89"/>
      <c r="AJ6" s="89"/>
      <c r="AK6" s="257"/>
      <c r="AL6" s="257"/>
      <c r="AM6" s="257"/>
      <c r="AN6" s="257"/>
      <c r="AO6" s="257"/>
      <c r="AP6" s="257"/>
      <c r="AQ6" s="257"/>
      <c r="AR6" s="257"/>
      <c r="AS6" s="257"/>
      <c r="AT6" s="257"/>
      <c r="AU6" s="257"/>
      <c r="AV6" s="257"/>
      <c r="AW6" s="257"/>
      <c r="AX6" s="257"/>
      <c r="AY6" s="257"/>
      <c r="AZ6" s="35"/>
      <c r="BA6" s="257"/>
      <c r="BB6" s="264"/>
      <c r="BC6" s="70"/>
      <c r="BD6" s="71"/>
    </row>
    <row r="7" spans="1:56" ht="15" customHeight="1" thickBot="1">
      <c r="A7" s="454"/>
      <c r="B7" s="509"/>
      <c r="C7" s="428"/>
      <c r="D7" s="18">
        <f t="shared" ref="D7:D70" si="2">COUNT(K7:BA7)</f>
        <v>7</v>
      </c>
      <c r="E7" s="18">
        <v>2</v>
      </c>
      <c r="F7" s="16" t="s">
        <v>36</v>
      </c>
      <c r="G7" s="26">
        <v>10.5</v>
      </c>
      <c r="H7" s="26">
        <f t="shared" ref="H7:H70" si="3">G7-SUM(K7:BB7)</f>
        <v>0</v>
      </c>
      <c r="I7" s="18" t="s">
        <v>34</v>
      </c>
      <c r="J7" s="504"/>
      <c r="K7" s="26"/>
      <c r="L7" s="26">
        <v>1.5</v>
      </c>
      <c r="M7" s="26">
        <v>1.5</v>
      </c>
      <c r="N7" s="201"/>
      <c r="O7" s="201"/>
      <c r="P7" s="26">
        <v>1.5</v>
      </c>
      <c r="Q7" s="26">
        <v>1.5</v>
      </c>
      <c r="R7" s="91"/>
      <c r="S7" s="91"/>
      <c r="T7" s="26">
        <v>1.5</v>
      </c>
      <c r="U7" s="26">
        <v>1.5</v>
      </c>
      <c r="V7" s="201"/>
      <c r="W7" s="201"/>
      <c r="X7" s="26">
        <v>1.5</v>
      </c>
      <c r="Y7" s="26"/>
      <c r="Z7" s="201"/>
      <c r="AA7" s="91"/>
      <c r="AB7" s="91"/>
      <c r="AC7" s="26"/>
      <c r="AD7" s="26"/>
      <c r="AE7" s="201"/>
      <c r="AF7" s="201"/>
      <c r="AG7" s="26"/>
      <c r="AH7" s="26"/>
      <c r="AI7" s="91"/>
      <c r="AJ7" s="91"/>
      <c r="AK7" s="258"/>
      <c r="AL7" s="258"/>
      <c r="AM7" s="258"/>
      <c r="AN7" s="258"/>
      <c r="AO7" s="258"/>
      <c r="AP7" s="258"/>
      <c r="AQ7" s="258"/>
      <c r="AR7" s="258"/>
      <c r="AS7" s="258"/>
      <c r="AT7" s="258"/>
      <c r="AU7" s="258"/>
      <c r="AV7" s="258"/>
      <c r="AW7" s="258"/>
      <c r="AX7" s="258"/>
      <c r="AY7" s="258"/>
      <c r="AZ7" s="37"/>
      <c r="BA7" s="258"/>
      <c r="BB7" s="265"/>
      <c r="BC7" s="73"/>
      <c r="BD7" s="74"/>
    </row>
    <row r="8" spans="1:56" ht="15" customHeight="1" thickTop="1">
      <c r="A8" s="452" t="s">
        <v>236</v>
      </c>
      <c r="B8" s="508" t="s">
        <v>237</v>
      </c>
      <c r="C8" s="426" t="s">
        <v>143</v>
      </c>
      <c r="D8" s="17">
        <f t="shared" si="2"/>
        <v>3</v>
      </c>
      <c r="E8" s="17">
        <v>2</v>
      </c>
      <c r="F8" s="15" t="s">
        <v>33</v>
      </c>
      <c r="G8" s="23">
        <v>4.5</v>
      </c>
      <c r="H8" s="23">
        <f t="shared" si="3"/>
        <v>0</v>
      </c>
      <c r="I8" s="17" t="s">
        <v>34</v>
      </c>
      <c r="J8" s="495" t="s">
        <v>74</v>
      </c>
      <c r="K8" s="23"/>
      <c r="L8" s="23"/>
      <c r="M8" s="23"/>
      <c r="N8" s="200"/>
      <c r="O8" s="200"/>
      <c r="P8" s="23"/>
      <c r="Q8" s="23"/>
      <c r="R8" s="89"/>
      <c r="S8" s="89"/>
      <c r="T8" s="23"/>
      <c r="U8" s="23"/>
      <c r="V8" s="200"/>
      <c r="W8" s="200"/>
      <c r="X8" s="23"/>
      <c r="Y8" s="23"/>
      <c r="Z8" s="200"/>
      <c r="AA8" s="89"/>
      <c r="AB8" s="89"/>
      <c r="AC8" s="23">
        <v>1.5</v>
      </c>
      <c r="AD8" s="23">
        <v>1.5</v>
      </c>
      <c r="AE8" s="200"/>
      <c r="AF8" s="200"/>
      <c r="AG8" s="23">
        <v>1.5</v>
      </c>
      <c r="AH8" s="23"/>
      <c r="AI8" s="89"/>
      <c r="AJ8" s="89"/>
      <c r="AK8" s="257"/>
      <c r="AL8" s="257"/>
      <c r="AM8" s="257"/>
      <c r="AN8" s="257"/>
      <c r="AO8" s="257"/>
      <c r="AP8" s="257"/>
      <c r="AQ8" s="257"/>
      <c r="AR8" s="257"/>
      <c r="AS8" s="257"/>
      <c r="AT8" s="257"/>
      <c r="AU8" s="257"/>
      <c r="AV8" s="257"/>
      <c r="AW8" s="257"/>
      <c r="AX8" s="257"/>
      <c r="AY8" s="257"/>
      <c r="AZ8" s="35"/>
      <c r="BA8" s="257"/>
      <c r="BB8" s="264"/>
      <c r="BC8" s="70"/>
      <c r="BD8" s="71"/>
    </row>
    <row r="9" spans="1:56" ht="15.75" thickBot="1">
      <c r="A9" s="454"/>
      <c r="B9" s="509"/>
      <c r="C9" s="428"/>
      <c r="D9" s="18">
        <f t="shared" si="2"/>
        <v>3</v>
      </c>
      <c r="E9" s="18">
        <v>2</v>
      </c>
      <c r="F9" s="16" t="s">
        <v>36</v>
      </c>
      <c r="G9" s="26">
        <v>4.5</v>
      </c>
      <c r="H9" s="26">
        <f t="shared" si="3"/>
        <v>0</v>
      </c>
      <c r="I9" s="18" t="s">
        <v>34</v>
      </c>
      <c r="J9" s="504"/>
      <c r="K9" s="26"/>
      <c r="L9" s="26"/>
      <c r="M9" s="26"/>
      <c r="N9" s="201"/>
      <c r="O9" s="201"/>
      <c r="P9" s="26"/>
      <c r="Q9" s="26"/>
      <c r="R9" s="91"/>
      <c r="S9" s="91"/>
      <c r="T9" s="26"/>
      <c r="U9" s="26"/>
      <c r="V9" s="201"/>
      <c r="W9" s="201"/>
      <c r="X9" s="26"/>
      <c r="Y9" s="26"/>
      <c r="Z9" s="201"/>
      <c r="AA9" s="91"/>
      <c r="AB9" s="91"/>
      <c r="AC9" s="26"/>
      <c r="AD9" s="26">
        <v>1.5</v>
      </c>
      <c r="AE9" s="201"/>
      <c r="AF9" s="201"/>
      <c r="AG9" s="26">
        <v>1.5</v>
      </c>
      <c r="AH9" s="26">
        <v>1.5</v>
      </c>
      <c r="AI9" s="91"/>
      <c r="AJ9" s="91"/>
      <c r="AK9" s="258"/>
      <c r="AL9" s="258"/>
      <c r="AM9" s="258"/>
      <c r="AN9" s="258"/>
      <c r="AO9" s="258"/>
      <c r="AP9" s="258"/>
      <c r="AQ9" s="258"/>
      <c r="AR9" s="258"/>
      <c r="AS9" s="258"/>
      <c r="AT9" s="258"/>
      <c r="AU9" s="258"/>
      <c r="AV9" s="258"/>
      <c r="AW9" s="258"/>
      <c r="AX9" s="258"/>
      <c r="AY9" s="258"/>
      <c r="AZ9" s="37"/>
      <c r="BA9" s="258"/>
      <c r="BB9" s="265"/>
      <c r="BC9" s="73"/>
      <c r="BD9" s="74"/>
    </row>
    <row r="10" spans="1:56" ht="15" customHeight="1" thickTop="1">
      <c r="A10" s="452" t="s">
        <v>238</v>
      </c>
      <c r="B10" s="508" t="s">
        <v>239</v>
      </c>
      <c r="C10" s="426" t="s">
        <v>240</v>
      </c>
      <c r="D10" s="17">
        <f t="shared" si="2"/>
        <v>0</v>
      </c>
      <c r="E10" s="17">
        <v>2</v>
      </c>
      <c r="F10" s="23" t="s">
        <v>33</v>
      </c>
      <c r="G10" s="23">
        <v>0</v>
      </c>
      <c r="H10" s="23">
        <f t="shared" si="3"/>
        <v>0</v>
      </c>
      <c r="I10" s="17">
        <v>123</v>
      </c>
      <c r="J10" s="495" t="s">
        <v>74</v>
      </c>
      <c r="K10" s="23"/>
      <c r="L10" s="23"/>
      <c r="M10" s="23"/>
      <c r="N10" s="200"/>
      <c r="O10" s="200"/>
      <c r="P10" s="23"/>
      <c r="Q10" s="23"/>
      <c r="R10" s="89"/>
      <c r="S10" s="89"/>
      <c r="T10" s="23"/>
      <c r="U10" s="23"/>
      <c r="V10" s="200"/>
      <c r="W10" s="200"/>
      <c r="X10" s="23"/>
      <c r="Y10" s="23"/>
      <c r="Z10" s="200"/>
      <c r="AA10" s="89"/>
      <c r="AB10" s="89"/>
      <c r="AC10" s="23"/>
      <c r="AD10" s="23"/>
      <c r="AE10" s="200"/>
      <c r="AF10" s="200"/>
      <c r="AG10" s="23"/>
      <c r="AH10" s="23"/>
      <c r="AI10" s="89"/>
      <c r="AJ10" s="89"/>
      <c r="AK10" s="257"/>
      <c r="AL10" s="257"/>
      <c r="AM10" s="257"/>
      <c r="AN10" s="257"/>
      <c r="AO10" s="257"/>
      <c r="AP10" s="257"/>
      <c r="AQ10" s="257"/>
      <c r="AR10" s="257"/>
      <c r="AS10" s="257"/>
      <c r="AT10" s="257"/>
      <c r="AU10" s="257"/>
      <c r="AV10" s="257"/>
      <c r="AW10" s="257"/>
      <c r="AX10" s="257"/>
      <c r="AY10" s="257"/>
      <c r="AZ10" s="35"/>
      <c r="BA10" s="257"/>
      <c r="BB10" s="264"/>
      <c r="BC10" s="70"/>
      <c r="BD10" s="71"/>
    </row>
    <row r="11" spans="1:56" ht="13.5" customHeight="1">
      <c r="A11" s="453"/>
      <c r="B11" s="510"/>
      <c r="C11" s="427"/>
      <c r="D11" s="5">
        <f t="shared" si="2"/>
        <v>1</v>
      </c>
      <c r="E11" s="5">
        <v>2</v>
      </c>
      <c r="F11" s="10" t="s">
        <v>36</v>
      </c>
      <c r="G11" s="24">
        <v>3</v>
      </c>
      <c r="H11" s="24">
        <f t="shared" si="3"/>
        <v>0</v>
      </c>
      <c r="I11" s="5">
        <v>123</v>
      </c>
      <c r="J11" s="496"/>
      <c r="K11" s="24"/>
      <c r="L11" s="24"/>
      <c r="M11" s="24"/>
      <c r="N11" s="202"/>
      <c r="O11" s="202"/>
      <c r="P11" s="24"/>
      <c r="Q11" s="24"/>
      <c r="R11" s="90"/>
      <c r="S11" s="90"/>
      <c r="T11" s="24">
        <v>3</v>
      </c>
      <c r="U11" s="24"/>
      <c r="V11" s="202"/>
      <c r="W11" s="202"/>
      <c r="X11" s="24"/>
      <c r="Y11" s="24"/>
      <c r="Z11" s="202"/>
      <c r="AA11" s="90"/>
      <c r="AB11" s="90"/>
      <c r="AC11" s="24"/>
      <c r="AD11" s="24"/>
      <c r="AE11" s="202"/>
      <c r="AF11" s="202"/>
      <c r="AG11" s="24"/>
      <c r="AH11" s="24"/>
      <c r="AI11" s="90"/>
      <c r="AJ11" s="90"/>
      <c r="AK11" s="259"/>
      <c r="AL11" s="259"/>
      <c r="AM11" s="259"/>
      <c r="AN11" s="259"/>
      <c r="AO11" s="259"/>
      <c r="AP11" s="259"/>
      <c r="AQ11" s="259"/>
      <c r="AR11" s="259"/>
      <c r="AS11" s="259"/>
      <c r="AT11" s="259"/>
      <c r="AU11" s="259"/>
      <c r="AV11" s="259"/>
      <c r="AW11" s="259"/>
      <c r="AX11" s="259"/>
      <c r="AY11" s="259"/>
      <c r="AZ11" s="36"/>
      <c r="BA11" s="259"/>
      <c r="BB11" s="263"/>
      <c r="BC11" s="59"/>
      <c r="BD11" s="72"/>
    </row>
    <row r="12" spans="1:56" ht="15" customHeight="1">
      <c r="A12" s="453"/>
      <c r="B12" s="510"/>
      <c r="C12" s="427"/>
      <c r="D12" s="5">
        <f t="shared" si="2"/>
        <v>5</v>
      </c>
      <c r="E12" s="5">
        <v>0</v>
      </c>
      <c r="F12" s="10" t="s">
        <v>39</v>
      </c>
      <c r="G12" s="24">
        <v>15</v>
      </c>
      <c r="H12" s="24">
        <f t="shared" si="3"/>
        <v>0</v>
      </c>
      <c r="I12" s="5">
        <v>123</v>
      </c>
      <c r="J12" s="24" t="s">
        <v>35</v>
      </c>
      <c r="K12" s="24"/>
      <c r="L12" s="24"/>
      <c r="M12" s="24"/>
      <c r="N12" s="202"/>
      <c r="O12" s="202"/>
      <c r="P12" s="24"/>
      <c r="Q12" s="24"/>
      <c r="R12" s="90"/>
      <c r="S12" s="90"/>
      <c r="T12" s="24"/>
      <c r="U12" s="24"/>
      <c r="V12" s="202">
        <v>3</v>
      </c>
      <c r="W12" s="202">
        <v>3</v>
      </c>
      <c r="X12" s="24"/>
      <c r="Y12" s="24"/>
      <c r="Z12" s="202"/>
      <c r="AA12" s="90"/>
      <c r="AB12" s="90"/>
      <c r="AC12" s="24"/>
      <c r="AD12" s="24"/>
      <c r="AE12" s="202">
        <v>3</v>
      </c>
      <c r="AF12" s="202">
        <v>3</v>
      </c>
      <c r="AG12" s="24"/>
      <c r="AH12" s="24">
        <v>3</v>
      </c>
      <c r="AI12" s="90"/>
      <c r="AJ12" s="90"/>
      <c r="AK12" s="259"/>
      <c r="AL12" s="259"/>
      <c r="AM12" s="259"/>
      <c r="AN12" s="259"/>
      <c r="AO12" s="259"/>
      <c r="AP12" s="259"/>
      <c r="AQ12" s="259"/>
      <c r="AR12" s="259"/>
      <c r="AS12" s="259"/>
      <c r="AT12" s="259"/>
      <c r="AU12" s="259"/>
      <c r="AV12" s="259"/>
      <c r="AW12" s="259"/>
      <c r="AX12" s="259"/>
      <c r="AY12" s="259"/>
      <c r="AZ12" s="36"/>
      <c r="BA12" s="259"/>
      <c r="BB12" s="263"/>
      <c r="BC12" s="59"/>
      <c r="BD12" s="72"/>
    </row>
    <row r="13" spans="1:56" ht="15" customHeight="1" thickBot="1">
      <c r="A13" s="454"/>
      <c r="B13" s="509"/>
      <c r="C13" s="428"/>
      <c r="D13" s="18">
        <f t="shared" si="2"/>
        <v>5</v>
      </c>
      <c r="E13" s="18">
        <v>1</v>
      </c>
      <c r="F13" s="16" t="s">
        <v>39</v>
      </c>
      <c r="G13" s="26">
        <v>15</v>
      </c>
      <c r="H13" s="26">
        <f t="shared" si="3"/>
        <v>0</v>
      </c>
      <c r="I13" s="18">
        <v>123</v>
      </c>
      <c r="J13" s="26" t="s">
        <v>37</v>
      </c>
      <c r="K13" s="26"/>
      <c r="L13" s="26"/>
      <c r="M13" s="26"/>
      <c r="N13" s="201"/>
      <c r="O13" s="201"/>
      <c r="P13" s="26"/>
      <c r="Q13" s="26"/>
      <c r="R13" s="91"/>
      <c r="S13" s="91"/>
      <c r="T13" s="26"/>
      <c r="U13" s="26"/>
      <c r="V13" s="201"/>
      <c r="W13" s="201"/>
      <c r="X13" s="26">
        <v>3</v>
      </c>
      <c r="Y13" s="26">
        <v>3</v>
      </c>
      <c r="Z13" s="201"/>
      <c r="AA13" s="91"/>
      <c r="AB13" s="91"/>
      <c r="AC13" s="26">
        <v>3</v>
      </c>
      <c r="AD13" s="26">
        <v>3</v>
      </c>
      <c r="AE13" s="201"/>
      <c r="AF13" s="201"/>
      <c r="AG13" s="26">
        <v>3</v>
      </c>
      <c r="AH13" s="26"/>
      <c r="AI13" s="91"/>
      <c r="AJ13" s="91"/>
      <c r="AK13" s="201"/>
      <c r="AL13" s="201"/>
      <c r="AM13" s="201"/>
      <c r="AN13" s="201"/>
      <c r="AO13" s="26"/>
      <c r="AP13" s="201"/>
      <c r="AQ13" s="91"/>
      <c r="AR13" s="91"/>
      <c r="AS13" s="201"/>
      <c r="AT13" s="201"/>
      <c r="AU13" s="201"/>
      <c r="AV13" s="201"/>
      <c r="AW13" s="201"/>
      <c r="AX13" s="201"/>
      <c r="AY13" s="201"/>
      <c r="AZ13" s="37"/>
      <c r="BA13" s="201"/>
      <c r="BB13" s="207"/>
      <c r="BC13" s="73"/>
      <c r="BD13" s="74"/>
    </row>
    <row r="14" spans="1:56" ht="15" customHeight="1" thickTop="1">
      <c r="A14" s="452" t="s">
        <v>241</v>
      </c>
      <c r="B14" s="505" t="s">
        <v>242</v>
      </c>
      <c r="C14" s="426" t="s">
        <v>38</v>
      </c>
      <c r="D14" s="17">
        <f t="shared" si="2"/>
        <v>5</v>
      </c>
      <c r="E14" s="17">
        <v>2</v>
      </c>
      <c r="F14" s="23" t="s">
        <v>33</v>
      </c>
      <c r="G14" s="23">
        <v>7.5</v>
      </c>
      <c r="H14" s="23">
        <f t="shared" si="3"/>
        <v>0</v>
      </c>
      <c r="I14" s="17" t="s">
        <v>34</v>
      </c>
      <c r="J14" s="495" t="s">
        <v>74</v>
      </c>
      <c r="K14" s="23"/>
      <c r="L14" s="23"/>
      <c r="M14" s="23"/>
      <c r="N14" s="200"/>
      <c r="O14" s="200"/>
      <c r="P14" s="23"/>
      <c r="Q14" s="23">
        <v>1.5</v>
      </c>
      <c r="R14" s="89"/>
      <c r="S14" s="89"/>
      <c r="T14" s="23">
        <v>1.5</v>
      </c>
      <c r="U14" s="23">
        <v>1.5</v>
      </c>
      <c r="V14" s="200"/>
      <c r="W14" s="200"/>
      <c r="X14" s="23">
        <v>1.5</v>
      </c>
      <c r="Y14" s="23">
        <v>1.5</v>
      </c>
      <c r="Z14" s="200"/>
      <c r="AA14" s="89"/>
      <c r="AB14" s="89"/>
      <c r="AC14" s="23"/>
      <c r="AD14" s="23"/>
      <c r="AE14" s="200"/>
      <c r="AF14" s="200"/>
      <c r="AG14" s="23"/>
      <c r="AH14" s="23"/>
      <c r="AI14" s="89"/>
      <c r="AJ14" s="89"/>
      <c r="AK14" s="257"/>
      <c r="AL14" s="257"/>
      <c r="AM14" s="257"/>
      <c r="AN14" s="257"/>
      <c r="AO14" s="257"/>
      <c r="AP14" s="257"/>
      <c r="AQ14" s="257"/>
      <c r="AR14" s="257"/>
      <c r="AS14" s="257"/>
      <c r="AT14" s="257"/>
      <c r="AU14" s="257"/>
      <c r="AV14" s="257"/>
      <c r="AW14" s="257"/>
      <c r="AX14" s="257"/>
      <c r="AY14" s="257"/>
      <c r="AZ14" s="35"/>
      <c r="BA14" s="257"/>
      <c r="BB14" s="264"/>
      <c r="BC14" s="70"/>
      <c r="BD14" s="71"/>
    </row>
    <row r="15" spans="1:56" ht="15" customHeight="1">
      <c r="A15" s="453"/>
      <c r="B15" s="506"/>
      <c r="C15" s="427"/>
      <c r="D15" s="5">
        <f t="shared" si="2"/>
        <v>4</v>
      </c>
      <c r="E15" s="5">
        <v>2</v>
      </c>
      <c r="F15" s="10" t="s">
        <v>36</v>
      </c>
      <c r="G15" s="24">
        <v>6</v>
      </c>
      <c r="H15" s="24">
        <f t="shared" si="3"/>
        <v>0</v>
      </c>
      <c r="I15" s="5" t="s">
        <v>34</v>
      </c>
      <c r="J15" s="496"/>
      <c r="K15" s="24"/>
      <c r="L15" s="24"/>
      <c r="M15" s="24"/>
      <c r="N15" s="202"/>
      <c r="O15" s="202"/>
      <c r="P15" s="24"/>
      <c r="Q15" s="24"/>
      <c r="R15" s="90"/>
      <c r="S15" s="90"/>
      <c r="T15" s="24">
        <v>1.5</v>
      </c>
      <c r="U15" s="24">
        <v>1.5</v>
      </c>
      <c r="V15" s="202"/>
      <c r="W15" s="202"/>
      <c r="X15" s="24">
        <v>1.5</v>
      </c>
      <c r="Y15" s="24">
        <v>1.5</v>
      </c>
      <c r="Z15" s="202"/>
      <c r="AA15" s="90"/>
      <c r="AB15" s="90"/>
      <c r="AC15" s="24"/>
      <c r="AD15" s="24"/>
      <c r="AE15" s="202"/>
      <c r="AF15" s="202"/>
      <c r="AG15" s="24"/>
      <c r="AH15" s="24"/>
      <c r="AI15" s="90"/>
      <c r="AJ15" s="90"/>
      <c r="AK15" s="259"/>
      <c r="AL15" s="259"/>
      <c r="AM15" s="259"/>
      <c r="AN15" s="259"/>
      <c r="AO15" s="259"/>
      <c r="AP15" s="259"/>
      <c r="AQ15" s="259"/>
      <c r="AR15" s="259"/>
      <c r="AS15" s="259"/>
      <c r="AT15" s="259"/>
      <c r="AU15" s="259"/>
      <c r="AV15" s="259"/>
      <c r="AW15" s="259"/>
      <c r="AX15" s="259"/>
      <c r="AY15" s="259"/>
      <c r="AZ15" s="36"/>
      <c r="BA15" s="259"/>
      <c r="BB15" s="263"/>
      <c r="BC15" s="59"/>
      <c r="BD15" s="72"/>
    </row>
    <row r="16" spans="1:56" ht="15" customHeight="1">
      <c r="A16" s="453"/>
      <c r="B16" s="506"/>
      <c r="C16" s="427" t="s">
        <v>51</v>
      </c>
      <c r="D16" s="5">
        <f t="shared" si="2"/>
        <v>2</v>
      </c>
      <c r="E16" s="5">
        <v>2</v>
      </c>
      <c r="F16" s="10" t="s">
        <v>36</v>
      </c>
      <c r="G16" s="24">
        <v>3</v>
      </c>
      <c r="H16" s="24">
        <f t="shared" si="3"/>
        <v>0</v>
      </c>
      <c r="I16" s="5" t="s">
        <v>34</v>
      </c>
      <c r="J16" s="24" t="s">
        <v>74</v>
      </c>
      <c r="K16" s="24"/>
      <c r="L16" s="24"/>
      <c r="M16" s="24"/>
      <c r="N16" s="202"/>
      <c r="O16" s="202"/>
      <c r="P16" s="24"/>
      <c r="Q16" s="24"/>
      <c r="R16" s="90"/>
      <c r="S16" s="90"/>
      <c r="T16" s="24">
        <v>1.5</v>
      </c>
      <c r="U16" s="24">
        <v>1.5</v>
      </c>
      <c r="V16" s="202"/>
      <c r="W16" s="202"/>
      <c r="X16" s="24"/>
      <c r="Y16" s="24"/>
      <c r="Z16" s="202"/>
      <c r="AA16" s="90"/>
      <c r="AB16" s="90"/>
      <c r="AC16" s="24"/>
      <c r="AD16" s="24"/>
      <c r="AE16" s="202"/>
      <c r="AF16" s="202"/>
      <c r="AG16" s="24"/>
      <c r="AH16" s="24"/>
      <c r="AI16" s="90"/>
      <c r="AJ16" s="90"/>
      <c r="AK16" s="259"/>
      <c r="AL16" s="259"/>
      <c r="AM16" s="259"/>
      <c r="AN16" s="259"/>
      <c r="AO16" s="259"/>
      <c r="AP16" s="259"/>
      <c r="AQ16" s="259"/>
      <c r="AR16" s="259"/>
      <c r="AS16" s="259"/>
      <c r="AT16" s="259"/>
      <c r="AU16" s="259"/>
      <c r="AV16" s="259"/>
      <c r="AW16" s="259"/>
      <c r="AX16" s="259"/>
      <c r="AY16" s="259"/>
      <c r="AZ16" s="36"/>
      <c r="BA16" s="259"/>
      <c r="BB16" s="263"/>
      <c r="BC16" s="59"/>
      <c r="BD16" s="72"/>
    </row>
    <row r="17" spans="1:60" ht="15" customHeight="1">
      <c r="A17" s="453"/>
      <c r="B17" s="506"/>
      <c r="C17" s="427"/>
      <c r="D17" s="5">
        <f t="shared" si="2"/>
        <v>3</v>
      </c>
      <c r="E17" s="5">
        <v>0</v>
      </c>
      <c r="F17" s="5" t="s">
        <v>90</v>
      </c>
      <c r="G17" s="24">
        <v>9</v>
      </c>
      <c r="H17" s="24">
        <f t="shared" si="3"/>
        <v>0</v>
      </c>
      <c r="I17" s="5">
        <v>19</v>
      </c>
      <c r="J17" s="24" t="s">
        <v>35</v>
      </c>
      <c r="K17" s="24"/>
      <c r="L17" s="24"/>
      <c r="M17" s="24"/>
      <c r="N17" s="202"/>
      <c r="O17" s="202"/>
      <c r="P17" s="24"/>
      <c r="Q17" s="24"/>
      <c r="R17" s="90"/>
      <c r="S17" s="90"/>
      <c r="T17" s="24"/>
      <c r="U17" s="24"/>
      <c r="V17" s="202"/>
      <c r="W17" s="202"/>
      <c r="X17" s="24">
        <v>3</v>
      </c>
      <c r="Y17" s="24">
        <v>3</v>
      </c>
      <c r="Z17" s="202">
        <v>3</v>
      </c>
      <c r="AA17" s="90"/>
      <c r="AB17" s="90"/>
      <c r="AC17" s="24"/>
      <c r="AD17" s="24"/>
      <c r="AE17" s="202"/>
      <c r="AF17" s="202"/>
      <c r="AG17" s="24"/>
      <c r="AH17" s="24"/>
      <c r="AI17" s="90"/>
      <c r="AJ17" s="90"/>
      <c r="AK17" s="259"/>
      <c r="AL17" s="259"/>
      <c r="AM17" s="259"/>
      <c r="AN17" s="259"/>
      <c r="AO17" s="259"/>
      <c r="AP17" s="259"/>
      <c r="AQ17" s="259"/>
      <c r="AR17" s="259"/>
      <c r="AS17" s="259"/>
      <c r="AT17" s="259"/>
      <c r="AU17" s="259"/>
      <c r="AV17" s="259"/>
      <c r="AW17" s="259"/>
      <c r="AX17" s="259"/>
      <c r="AY17" s="259"/>
      <c r="AZ17" s="36"/>
      <c r="BA17" s="259"/>
      <c r="BB17" s="263"/>
      <c r="BC17" s="59"/>
      <c r="BD17" s="72"/>
    </row>
    <row r="18" spans="1:60" ht="15" customHeight="1" thickBot="1">
      <c r="A18" s="454"/>
      <c r="B18" s="507"/>
      <c r="C18" s="428"/>
      <c r="D18" s="18">
        <f t="shared" si="2"/>
        <v>3</v>
      </c>
      <c r="E18" s="18">
        <v>1</v>
      </c>
      <c r="F18" s="16" t="s">
        <v>39</v>
      </c>
      <c r="G18" s="26">
        <v>9</v>
      </c>
      <c r="H18" s="26">
        <f t="shared" si="3"/>
        <v>0</v>
      </c>
      <c r="I18" s="18">
        <v>19</v>
      </c>
      <c r="J18" s="26" t="s">
        <v>37</v>
      </c>
      <c r="K18" s="26"/>
      <c r="L18" s="26"/>
      <c r="M18" s="26"/>
      <c r="N18" s="201"/>
      <c r="O18" s="201"/>
      <c r="P18" s="26"/>
      <c r="Q18" s="26"/>
      <c r="R18" s="91"/>
      <c r="S18" s="91"/>
      <c r="T18" s="26"/>
      <c r="U18" s="26">
        <v>3</v>
      </c>
      <c r="V18" s="201"/>
      <c r="W18" s="201"/>
      <c r="X18" s="26">
        <v>3</v>
      </c>
      <c r="Y18" s="26">
        <v>3</v>
      </c>
      <c r="Z18" s="201"/>
      <c r="AA18" s="91"/>
      <c r="AB18" s="91"/>
      <c r="AC18" s="26"/>
      <c r="AD18" s="26"/>
      <c r="AE18" s="201"/>
      <c r="AF18" s="201"/>
      <c r="AG18" s="26"/>
      <c r="AH18" s="26"/>
      <c r="AI18" s="91"/>
      <c r="AJ18" s="91"/>
      <c r="AK18" s="201"/>
      <c r="AL18" s="201"/>
      <c r="AM18" s="201"/>
      <c r="AN18" s="201"/>
      <c r="AO18" s="26"/>
      <c r="AP18" s="201"/>
      <c r="AQ18" s="91"/>
      <c r="AR18" s="91"/>
      <c r="AS18" s="201"/>
      <c r="AT18" s="201"/>
      <c r="AU18" s="201"/>
      <c r="AV18" s="201"/>
      <c r="AW18" s="201"/>
      <c r="AX18" s="201"/>
      <c r="AY18" s="201"/>
      <c r="AZ18" s="37"/>
      <c r="BA18" s="201"/>
      <c r="BB18" s="207"/>
      <c r="BC18" s="73"/>
      <c r="BD18" s="74"/>
    </row>
    <row r="19" spans="1:60" ht="15" customHeight="1" thickTop="1">
      <c r="A19" s="452" t="s">
        <v>243</v>
      </c>
      <c r="B19" s="505" t="s">
        <v>244</v>
      </c>
      <c r="C19" s="426" t="s">
        <v>45</v>
      </c>
      <c r="D19" s="17">
        <f t="shared" si="2"/>
        <v>3</v>
      </c>
      <c r="E19" s="17">
        <v>2</v>
      </c>
      <c r="F19" s="23" t="s">
        <v>33</v>
      </c>
      <c r="G19" s="23">
        <v>4.5</v>
      </c>
      <c r="H19" s="23">
        <f t="shared" si="3"/>
        <v>0</v>
      </c>
      <c r="I19" s="17" t="s">
        <v>34</v>
      </c>
      <c r="J19" s="495" t="s">
        <v>74</v>
      </c>
      <c r="K19" s="23"/>
      <c r="L19" s="23"/>
      <c r="M19" s="23"/>
      <c r="N19" s="200"/>
      <c r="O19" s="200"/>
      <c r="P19" s="23"/>
      <c r="Q19" s="23"/>
      <c r="R19" s="89"/>
      <c r="S19" s="89"/>
      <c r="T19" s="23"/>
      <c r="U19" s="23"/>
      <c r="V19" s="200"/>
      <c r="W19" s="200"/>
      <c r="X19" s="23"/>
      <c r="Y19" s="23"/>
      <c r="Z19" s="200"/>
      <c r="AA19" s="89"/>
      <c r="AB19" s="89"/>
      <c r="AC19" s="23">
        <v>1.5</v>
      </c>
      <c r="AD19" s="23">
        <v>1.5</v>
      </c>
      <c r="AE19" s="200"/>
      <c r="AF19" s="200"/>
      <c r="AG19" s="23">
        <v>1.5</v>
      </c>
      <c r="AH19" s="23"/>
      <c r="AI19" s="89"/>
      <c r="AJ19" s="89"/>
      <c r="AK19" s="257"/>
      <c r="AL19" s="257"/>
      <c r="AM19" s="257"/>
      <c r="AN19" s="257"/>
      <c r="AO19" s="257"/>
      <c r="AP19" s="257"/>
      <c r="AQ19" s="257"/>
      <c r="AR19" s="257"/>
      <c r="AS19" s="257"/>
      <c r="AT19" s="257"/>
      <c r="AU19" s="257"/>
      <c r="AV19" s="257"/>
      <c r="AW19" s="257"/>
      <c r="AX19" s="257"/>
      <c r="AY19" s="257"/>
      <c r="AZ19" s="35"/>
      <c r="BA19" s="257"/>
      <c r="BB19" s="264"/>
      <c r="BC19" s="70"/>
      <c r="BD19" s="71"/>
    </row>
    <row r="20" spans="1:60" ht="15" customHeight="1" thickBot="1">
      <c r="A20" s="454"/>
      <c r="B20" s="507"/>
      <c r="C20" s="428"/>
      <c r="D20" s="18">
        <f t="shared" si="2"/>
        <v>3</v>
      </c>
      <c r="E20" s="18">
        <v>2</v>
      </c>
      <c r="F20" s="16" t="s">
        <v>36</v>
      </c>
      <c r="G20" s="26">
        <v>4.5</v>
      </c>
      <c r="H20" s="26">
        <f t="shared" si="3"/>
        <v>0</v>
      </c>
      <c r="I20" s="18" t="s">
        <v>34</v>
      </c>
      <c r="J20" s="504"/>
      <c r="K20" s="26"/>
      <c r="L20" s="26"/>
      <c r="M20" s="26"/>
      <c r="N20" s="201"/>
      <c r="O20" s="201"/>
      <c r="P20" s="26"/>
      <c r="Q20" s="26"/>
      <c r="R20" s="91"/>
      <c r="S20" s="91"/>
      <c r="T20" s="26"/>
      <c r="U20" s="26"/>
      <c r="V20" s="201"/>
      <c r="W20" s="201"/>
      <c r="X20" s="26"/>
      <c r="Y20" s="26"/>
      <c r="Z20" s="201"/>
      <c r="AA20" s="91"/>
      <c r="AB20" s="91"/>
      <c r="AC20" s="26">
        <v>1.5</v>
      </c>
      <c r="AD20" s="26">
        <v>1.5</v>
      </c>
      <c r="AE20" s="201"/>
      <c r="AF20" s="201"/>
      <c r="AG20" s="26">
        <v>1.5</v>
      </c>
      <c r="AH20" s="26"/>
      <c r="AI20" s="91"/>
      <c r="AJ20" s="91"/>
      <c r="AK20" s="258"/>
      <c r="AL20" s="258"/>
      <c r="AM20" s="258"/>
      <c r="AN20" s="258"/>
      <c r="AO20" s="258"/>
      <c r="AP20" s="258"/>
      <c r="AQ20" s="258"/>
      <c r="AR20" s="258"/>
      <c r="AS20" s="258"/>
      <c r="AT20" s="258"/>
      <c r="AU20" s="258"/>
      <c r="AV20" s="258"/>
      <c r="AW20" s="258"/>
      <c r="AX20" s="258"/>
      <c r="AY20" s="258"/>
      <c r="AZ20" s="37"/>
      <c r="BA20" s="258"/>
      <c r="BB20" s="265"/>
      <c r="BC20" s="73"/>
      <c r="BD20" s="74"/>
    </row>
    <row r="21" spans="1:60" ht="15" customHeight="1" thickTop="1">
      <c r="A21" s="452" t="s">
        <v>245</v>
      </c>
      <c r="B21" s="505" t="s">
        <v>246</v>
      </c>
      <c r="C21" s="426" t="s">
        <v>32</v>
      </c>
      <c r="D21" s="17">
        <f t="shared" si="2"/>
        <v>7</v>
      </c>
      <c r="E21" s="17">
        <v>2</v>
      </c>
      <c r="F21" s="23" t="s">
        <v>33</v>
      </c>
      <c r="G21" s="23">
        <v>12</v>
      </c>
      <c r="H21" s="23">
        <f t="shared" si="3"/>
        <v>0</v>
      </c>
      <c r="I21" s="17" t="s">
        <v>34</v>
      </c>
      <c r="J21" s="495" t="s">
        <v>74</v>
      </c>
      <c r="K21" s="23">
        <v>1.5</v>
      </c>
      <c r="L21" s="23">
        <v>1.5</v>
      </c>
      <c r="M21" s="23">
        <v>1.5</v>
      </c>
      <c r="N21" s="200"/>
      <c r="O21" s="200"/>
      <c r="P21" s="23">
        <v>1.5</v>
      </c>
      <c r="Q21" s="23">
        <v>3</v>
      </c>
      <c r="R21" s="89"/>
      <c r="S21" s="89"/>
      <c r="T21" s="23">
        <v>1.5</v>
      </c>
      <c r="U21" s="23">
        <v>1.5</v>
      </c>
      <c r="V21" s="200"/>
      <c r="W21" s="200"/>
      <c r="X21" s="23"/>
      <c r="Y21" s="23"/>
      <c r="Z21" s="200"/>
      <c r="AA21" s="89"/>
      <c r="AB21" s="89"/>
      <c r="AC21" s="23"/>
      <c r="AD21" s="23"/>
      <c r="AE21" s="200"/>
      <c r="AF21" s="200"/>
      <c r="AG21" s="23"/>
      <c r="AH21" s="23"/>
      <c r="AI21" s="89"/>
      <c r="AJ21" s="89"/>
      <c r="AK21" s="257"/>
      <c r="AL21" s="257"/>
      <c r="AM21" s="257"/>
      <c r="AN21" s="257"/>
      <c r="AO21" s="257"/>
      <c r="AP21" s="257"/>
      <c r="AQ21" s="257"/>
      <c r="AR21" s="257"/>
      <c r="AS21" s="257"/>
      <c r="AT21" s="257"/>
      <c r="AU21" s="257"/>
      <c r="AV21" s="257"/>
      <c r="AW21" s="257"/>
      <c r="AX21" s="257"/>
      <c r="AY21" s="257"/>
      <c r="AZ21" s="35"/>
      <c r="BA21" s="257"/>
      <c r="BB21" s="264"/>
      <c r="BC21" s="70"/>
      <c r="BD21" s="71"/>
      <c r="BE21" s="520" t="s">
        <v>247</v>
      </c>
      <c r="BF21" s="500"/>
      <c r="BG21" s="500"/>
    </row>
    <row r="22" spans="1:60" ht="15" customHeight="1">
      <c r="A22" s="453"/>
      <c r="B22" s="506"/>
      <c r="C22" s="427"/>
      <c r="D22" s="5">
        <f t="shared" si="2"/>
        <v>7</v>
      </c>
      <c r="E22" s="5">
        <v>2</v>
      </c>
      <c r="F22" s="10" t="s">
        <v>36</v>
      </c>
      <c r="G22" s="24">
        <v>12</v>
      </c>
      <c r="H22" s="24">
        <f t="shared" si="3"/>
        <v>0</v>
      </c>
      <c r="I22" s="5" t="s">
        <v>34</v>
      </c>
      <c r="J22" s="496"/>
      <c r="K22" s="24">
        <v>3</v>
      </c>
      <c r="L22" s="24">
        <v>1.5</v>
      </c>
      <c r="M22" s="24">
        <v>1.5</v>
      </c>
      <c r="N22" s="202"/>
      <c r="O22" s="202"/>
      <c r="P22" s="24">
        <v>1.5</v>
      </c>
      <c r="Q22" s="24">
        <v>1.5</v>
      </c>
      <c r="R22" s="90"/>
      <c r="S22" s="90"/>
      <c r="T22" s="24">
        <v>1.5</v>
      </c>
      <c r="U22" s="24">
        <v>1.5</v>
      </c>
      <c r="V22" s="202"/>
      <c r="W22" s="202"/>
      <c r="X22" s="24"/>
      <c r="Y22" s="24"/>
      <c r="Z22" s="202"/>
      <c r="AA22" s="90"/>
      <c r="AB22" s="90"/>
      <c r="AC22" s="24"/>
      <c r="AD22" s="24"/>
      <c r="AE22" s="202"/>
      <c r="AF22" s="202"/>
      <c r="AG22" s="24"/>
      <c r="AH22" s="24"/>
      <c r="AI22" s="90"/>
      <c r="AJ22" s="90"/>
      <c r="AK22" s="259"/>
      <c r="AL22" s="259"/>
      <c r="AM22" s="259"/>
      <c r="AN22" s="259"/>
      <c r="AO22" s="259"/>
      <c r="AP22" s="259"/>
      <c r="AQ22" s="259"/>
      <c r="AR22" s="259"/>
      <c r="AS22" s="259"/>
      <c r="AT22" s="259"/>
      <c r="AU22" s="259"/>
      <c r="AV22" s="259"/>
      <c r="AW22" s="259"/>
      <c r="AX22" s="259"/>
      <c r="AY22" s="259"/>
      <c r="AZ22" s="36"/>
      <c r="BA22" s="259"/>
      <c r="BB22" s="263"/>
      <c r="BC22" s="59"/>
      <c r="BD22" s="72"/>
      <c r="BE22" s="499"/>
      <c r="BF22" s="500"/>
      <c r="BG22" s="500"/>
    </row>
    <row r="23" spans="1:60" ht="15" customHeight="1">
      <c r="A23" s="453"/>
      <c r="B23" s="506"/>
      <c r="C23" s="427"/>
      <c r="D23" s="5">
        <f t="shared" si="2"/>
        <v>4</v>
      </c>
      <c r="E23" s="5">
        <v>0</v>
      </c>
      <c r="F23" s="10" t="s">
        <v>39</v>
      </c>
      <c r="G23" s="24">
        <v>12</v>
      </c>
      <c r="H23" s="24">
        <f t="shared" si="3"/>
        <v>0</v>
      </c>
      <c r="I23" s="5">
        <v>124</v>
      </c>
      <c r="J23" s="24" t="s">
        <v>35</v>
      </c>
      <c r="K23" s="24"/>
      <c r="L23" s="24"/>
      <c r="M23" s="24"/>
      <c r="N23" s="202"/>
      <c r="O23" s="202"/>
      <c r="P23" s="24"/>
      <c r="Q23" s="24"/>
      <c r="R23" s="90"/>
      <c r="S23" s="90"/>
      <c r="T23" s="24"/>
      <c r="U23" s="24"/>
      <c r="V23" s="202"/>
      <c r="W23" s="202"/>
      <c r="X23" s="24">
        <v>3</v>
      </c>
      <c r="Y23" s="24">
        <v>3</v>
      </c>
      <c r="Z23" s="202">
        <v>3</v>
      </c>
      <c r="AA23" s="90"/>
      <c r="AB23" s="90"/>
      <c r="AC23" s="24">
        <v>3</v>
      </c>
      <c r="AD23" s="24"/>
      <c r="AE23" s="202"/>
      <c r="AF23" s="202"/>
      <c r="AG23" s="24"/>
      <c r="AH23" s="24"/>
      <c r="AI23" s="90"/>
      <c r="AJ23" s="90"/>
      <c r="AK23" s="259"/>
      <c r="AL23" s="259"/>
      <c r="AM23" s="259"/>
      <c r="AN23" s="259"/>
      <c r="AO23" s="259"/>
      <c r="AP23" s="259"/>
      <c r="AQ23" s="259"/>
      <c r="AR23" s="259"/>
      <c r="AS23" s="259"/>
      <c r="AT23" s="259"/>
      <c r="AU23" s="259"/>
      <c r="AV23" s="259"/>
      <c r="AW23" s="259"/>
      <c r="AX23" s="259"/>
      <c r="AY23" s="259"/>
      <c r="AZ23" s="36"/>
      <c r="BA23" s="259"/>
      <c r="BB23" s="263"/>
      <c r="BC23" s="59"/>
      <c r="BD23" s="72"/>
      <c r="BE23" s="499"/>
      <c r="BF23" s="500"/>
      <c r="BG23" s="500"/>
    </row>
    <row r="24" spans="1:60" ht="15" customHeight="1" thickBot="1">
      <c r="A24" s="454"/>
      <c r="B24" s="507"/>
      <c r="C24" s="428"/>
      <c r="D24" s="18">
        <f t="shared" si="2"/>
        <v>4</v>
      </c>
      <c r="E24" s="18">
        <v>1</v>
      </c>
      <c r="F24" s="16" t="s">
        <v>39</v>
      </c>
      <c r="G24" s="26">
        <v>12</v>
      </c>
      <c r="H24" s="26">
        <f t="shared" si="3"/>
        <v>0</v>
      </c>
      <c r="I24" s="18">
        <v>124</v>
      </c>
      <c r="J24" s="26" t="s">
        <v>37</v>
      </c>
      <c r="K24" s="26"/>
      <c r="L24" s="26"/>
      <c r="M24" s="26"/>
      <c r="N24" s="201"/>
      <c r="O24" s="201"/>
      <c r="P24" s="26"/>
      <c r="Q24" s="26"/>
      <c r="R24" s="91"/>
      <c r="S24" s="91"/>
      <c r="T24" s="26"/>
      <c r="U24" s="26"/>
      <c r="V24" s="201"/>
      <c r="W24" s="201"/>
      <c r="X24" s="26">
        <v>3</v>
      </c>
      <c r="Y24" s="26">
        <v>3</v>
      </c>
      <c r="Z24" s="201"/>
      <c r="AA24" s="91"/>
      <c r="AB24" s="91"/>
      <c r="AC24" s="26">
        <v>3</v>
      </c>
      <c r="AD24" s="26">
        <v>3</v>
      </c>
      <c r="AE24" s="201"/>
      <c r="AF24" s="201"/>
      <c r="AG24" s="26"/>
      <c r="AH24" s="26"/>
      <c r="AI24" s="91"/>
      <c r="AJ24" s="91"/>
      <c r="AK24" s="201"/>
      <c r="AL24" s="201"/>
      <c r="AM24" s="201"/>
      <c r="AN24" s="201"/>
      <c r="AO24" s="26"/>
      <c r="AP24" s="201"/>
      <c r="AQ24" s="91"/>
      <c r="AR24" s="91"/>
      <c r="AS24" s="201"/>
      <c r="AT24" s="201"/>
      <c r="AU24" s="201"/>
      <c r="AV24" s="201"/>
      <c r="AW24" s="201"/>
      <c r="AX24" s="201"/>
      <c r="AY24" s="201"/>
      <c r="AZ24" s="37"/>
      <c r="BA24" s="201"/>
      <c r="BB24" s="207"/>
      <c r="BC24" s="73"/>
      <c r="BD24" s="74"/>
      <c r="BE24" s="499"/>
      <c r="BF24" s="500"/>
      <c r="BG24" s="500"/>
    </row>
    <row r="25" spans="1:60" ht="15" customHeight="1" thickTop="1">
      <c r="A25" s="452" t="s">
        <v>248</v>
      </c>
      <c r="B25" s="508" t="s">
        <v>249</v>
      </c>
      <c r="C25" s="426" t="s">
        <v>109</v>
      </c>
      <c r="D25" s="17">
        <f t="shared" si="2"/>
        <v>3</v>
      </c>
      <c r="E25" s="17">
        <v>2</v>
      </c>
      <c r="F25" s="23" t="s">
        <v>33</v>
      </c>
      <c r="G25" s="23">
        <v>4.5</v>
      </c>
      <c r="H25" s="23">
        <f t="shared" si="3"/>
        <v>0</v>
      </c>
      <c r="I25" s="17" t="s">
        <v>34</v>
      </c>
      <c r="J25" s="495" t="s">
        <v>74</v>
      </c>
      <c r="K25" s="23"/>
      <c r="L25" s="23"/>
      <c r="M25" s="23"/>
      <c r="N25" s="200"/>
      <c r="O25" s="200"/>
      <c r="P25" s="23"/>
      <c r="Q25" s="23"/>
      <c r="R25" s="89"/>
      <c r="S25" s="89"/>
      <c r="T25" s="23"/>
      <c r="U25" s="23"/>
      <c r="V25" s="200"/>
      <c r="W25" s="200"/>
      <c r="X25" s="23"/>
      <c r="Y25" s="23"/>
      <c r="Z25" s="200"/>
      <c r="AA25" s="89"/>
      <c r="AB25" s="89"/>
      <c r="AC25" s="23"/>
      <c r="AD25" s="23">
        <v>1.5</v>
      </c>
      <c r="AE25" s="200"/>
      <c r="AF25" s="200"/>
      <c r="AG25" s="23">
        <v>1.5</v>
      </c>
      <c r="AH25" s="23">
        <v>1.5</v>
      </c>
      <c r="AI25" s="89"/>
      <c r="AJ25" s="89"/>
      <c r="AK25" s="257"/>
      <c r="AL25" s="257"/>
      <c r="AM25" s="257"/>
      <c r="AN25" s="257"/>
      <c r="AO25" s="257"/>
      <c r="AP25" s="257"/>
      <c r="AQ25" s="257"/>
      <c r="AR25" s="257"/>
      <c r="AS25" s="257"/>
      <c r="AT25" s="257"/>
      <c r="AU25" s="257"/>
      <c r="AV25" s="257"/>
      <c r="AW25" s="257"/>
      <c r="AX25" s="257"/>
      <c r="AY25" s="257"/>
      <c r="AZ25" s="35"/>
      <c r="BA25" s="257"/>
      <c r="BB25" s="264"/>
      <c r="BC25" s="70"/>
      <c r="BD25" s="71"/>
    </row>
    <row r="26" spans="1:60" ht="15" customHeight="1" thickBot="1">
      <c r="A26" s="454"/>
      <c r="B26" s="509"/>
      <c r="C26" s="428"/>
      <c r="D26" s="18">
        <f t="shared" si="2"/>
        <v>3</v>
      </c>
      <c r="E26" s="18">
        <v>2</v>
      </c>
      <c r="F26" s="16" t="s">
        <v>36</v>
      </c>
      <c r="G26" s="26">
        <v>4.5</v>
      </c>
      <c r="H26" s="26">
        <f t="shared" si="3"/>
        <v>0</v>
      </c>
      <c r="I26" s="18" t="s">
        <v>34</v>
      </c>
      <c r="J26" s="504"/>
      <c r="K26" s="26"/>
      <c r="L26" s="26"/>
      <c r="M26" s="26"/>
      <c r="N26" s="201"/>
      <c r="O26" s="201"/>
      <c r="P26" s="26"/>
      <c r="Q26" s="26"/>
      <c r="R26" s="91"/>
      <c r="S26" s="91"/>
      <c r="T26" s="26"/>
      <c r="U26" s="26"/>
      <c r="V26" s="201"/>
      <c r="W26" s="201"/>
      <c r="X26" s="26"/>
      <c r="Y26" s="26"/>
      <c r="Z26" s="201"/>
      <c r="AA26" s="91"/>
      <c r="AB26" s="91"/>
      <c r="AC26" s="26"/>
      <c r="AD26" s="26">
        <v>1.5</v>
      </c>
      <c r="AE26" s="201"/>
      <c r="AF26" s="201"/>
      <c r="AG26" s="26">
        <v>1.5</v>
      </c>
      <c r="AH26" s="26">
        <v>1.5</v>
      </c>
      <c r="AI26" s="91"/>
      <c r="AJ26" s="91"/>
      <c r="AK26" s="258"/>
      <c r="AL26" s="258"/>
      <c r="AM26" s="258"/>
      <c r="AN26" s="258"/>
      <c r="AO26" s="258"/>
      <c r="AP26" s="258"/>
      <c r="AQ26" s="258"/>
      <c r="AR26" s="258"/>
      <c r="AS26" s="258"/>
      <c r="AT26" s="258"/>
      <c r="AU26" s="258"/>
      <c r="AV26" s="258"/>
      <c r="AW26" s="258"/>
      <c r="AX26" s="258"/>
      <c r="AY26" s="258"/>
      <c r="AZ26" s="37"/>
      <c r="BA26" s="258"/>
      <c r="BB26" s="265"/>
      <c r="BC26" s="73"/>
      <c r="BD26" s="74"/>
    </row>
    <row r="27" spans="1:60" ht="15" customHeight="1" thickTop="1">
      <c r="A27" s="452" t="s">
        <v>250</v>
      </c>
      <c r="B27" s="426" t="s">
        <v>251</v>
      </c>
      <c r="C27" s="426"/>
      <c r="D27" s="17">
        <f t="shared" si="2"/>
        <v>5</v>
      </c>
      <c r="E27" s="17">
        <v>2</v>
      </c>
      <c r="F27" s="23" t="s">
        <v>33</v>
      </c>
      <c r="G27" s="23">
        <v>7.5</v>
      </c>
      <c r="H27" s="23">
        <f t="shared" si="3"/>
        <v>0</v>
      </c>
      <c r="I27" s="17" t="s">
        <v>34</v>
      </c>
      <c r="J27" s="495" t="s">
        <v>74</v>
      </c>
      <c r="K27" s="23"/>
      <c r="L27" s="23"/>
      <c r="M27" s="23">
        <v>1.5</v>
      </c>
      <c r="N27" s="200"/>
      <c r="O27" s="200"/>
      <c r="P27" s="23">
        <v>1.5</v>
      </c>
      <c r="Q27" s="23">
        <v>1.5</v>
      </c>
      <c r="R27" s="89"/>
      <c r="S27" s="89"/>
      <c r="T27" s="23">
        <v>1.5</v>
      </c>
      <c r="U27" s="23">
        <v>1.5</v>
      </c>
      <c r="V27" s="200"/>
      <c r="W27" s="200"/>
      <c r="X27" s="23"/>
      <c r="Y27" s="23"/>
      <c r="Z27" s="200"/>
      <c r="AA27" s="89"/>
      <c r="AB27" s="89"/>
      <c r="AC27" s="23"/>
      <c r="AD27" s="23"/>
      <c r="AE27" s="200"/>
      <c r="AF27" s="200"/>
      <c r="AG27" s="23"/>
      <c r="AH27" s="23"/>
      <c r="AI27" s="89"/>
      <c r="AJ27" s="89"/>
      <c r="AK27" s="257"/>
      <c r="AL27" s="257"/>
      <c r="AM27" s="257"/>
      <c r="AN27" s="257"/>
      <c r="AO27" s="257"/>
      <c r="AP27" s="257"/>
      <c r="AQ27" s="257"/>
      <c r="AR27" s="257"/>
      <c r="AS27" s="257"/>
      <c r="AT27" s="257"/>
      <c r="AU27" s="257"/>
      <c r="AV27" s="257"/>
      <c r="AW27" s="257"/>
      <c r="AX27" s="257"/>
      <c r="AY27" s="257"/>
      <c r="AZ27" s="35"/>
      <c r="BA27" s="257"/>
      <c r="BB27" s="264"/>
      <c r="BC27" s="70"/>
      <c r="BD27" s="71"/>
    </row>
    <row r="28" spans="1:60" ht="15" customHeight="1">
      <c r="A28" s="453"/>
      <c r="B28" s="427"/>
      <c r="C28" s="427"/>
      <c r="D28" s="5">
        <f t="shared" si="2"/>
        <v>5</v>
      </c>
      <c r="E28" s="5">
        <v>2</v>
      </c>
      <c r="F28" s="10" t="s">
        <v>36</v>
      </c>
      <c r="G28" s="24">
        <v>7.5</v>
      </c>
      <c r="H28" s="24">
        <f t="shared" si="3"/>
        <v>0</v>
      </c>
      <c r="I28" s="5" t="s">
        <v>34</v>
      </c>
      <c r="J28" s="496"/>
      <c r="K28" s="24"/>
      <c r="L28" s="24"/>
      <c r="M28" s="24">
        <v>1.5</v>
      </c>
      <c r="N28" s="202"/>
      <c r="O28" s="202"/>
      <c r="P28" s="24">
        <v>1.5</v>
      </c>
      <c r="Q28" s="24">
        <v>1.5</v>
      </c>
      <c r="R28" s="90"/>
      <c r="S28" s="90"/>
      <c r="T28" s="24">
        <v>1.5</v>
      </c>
      <c r="U28" s="24">
        <v>1.5</v>
      </c>
      <c r="V28" s="202"/>
      <c r="W28" s="202"/>
      <c r="X28" s="24"/>
      <c r="Y28" s="24"/>
      <c r="Z28" s="202"/>
      <c r="AA28" s="90"/>
      <c r="AB28" s="90"/>
      <c r="AC28" s="24"/>
      <c r="AD28" s="24"/>
      <c r="AE28" s="202"/>
      <c r="AF28" s="202"/>
      <c r="AG28" s="24"/>
      <c r="AH28" s="24"/>
      <c r="AI28" s="90"/>
      <c r="AJ28" s="90"/>
      <c r="AK28" s="259"/>
      <c r="AL28" s="259"/>
      <c r="AM28" s="259"/>
      <c r="AN28" s="259"/>
      <c r="AO28" s="259"/>
      <c r="AP28" s="259"/>
      <c r="AQ28" s="259"/>
      <c r="AR28" s="259"/>
      <c r="AS28" s="259"/>
      <c r="AT28" s="259"/>
      <c r="AU28" s="259"/>
      <c r="AV28" s="259"/>
      <c r="AW28" s="259"/>
      <c r="AX28" s="259"/>
      <c r="AY28" s="259"/>
      <c r="AZ28" s="36"/>
      <c r="BA28" s="259"/>
      <c r="BB28" s="263"/>
      <c r="BC28" s="59"/>
      <c r="BD28" s="72"/>
    </row>
    <row r="29" spans="1:60" ht="15" customHeight="1">
      <c r="A29" s="453"/>
      <c r="B29" s="427"/>
      <c r="C29" s="427"/>
      <c r="D29" s="5">
        <f t="shared" si="2"/>
        <v>3</v>
      </c>
      <c r="E29" s="5">
        <v>0</v>
      </c>
      <c r="F29" s="10" t="s">
        <v>39</v>
      </c>
      <c r="G29" s="24">
        <v>9</v>
      </c>
      <c r="H29" s="24">
        <f t="shared" si="3"/>
        <v>0</v>
      </c>
      <c r="I29" s="5">
        <v>128</v>
      </c>
      <c r="J29" s="24" t="s">
        <v>35</v>
      </c>
      <c r="K29" s="24"/>
      <c r="L29" s="24"/>
      <c r="M29" s="24"/>
      <c r="N29" s="202"/>
      <c r="O29" s="202"/>
      <c r="P29" s="24"/>
      <c r="Q29" s="24"/>
      <c r="R29" s="90"/>
      <c r="S29" s="90"/>
      <c r="T29" s="24"/>
      <c r="U29" s="24"/>
      <c r="V29" s="202">
        <v>3</v>
      </c>
      <c r="W29" s="202">
        <v>3</v>
      </c>
      <c r="X29" s="24">
        <v>3</v>
      </c>
      <c r="Y29" s="24"/>
      <c r="Z29" s="202"/>
      <c r="AA29" s="90"/>
      <c r="AB29" s="90"/>
      <c r="AC29" s="24"/>
      <c r="AD29" s="24"/>
      <c r="AE29" s="202"/>
      <c r="AF29" s="202"/>
      <c r="AG29" s="24"/>
      <c r="AH29" s="24"/>
      <c r="AI29" s="90"/>
      <c r="AJ29" s="90"/>
      <c r="AK29" s="259"/>
      <c r="AL29" s="259"/>
      <c r="AM29" s="259"/>
      <c r="AN29" s="259"/>
      <c r="AO29" s="259"/>
      <c r="AP29" s="259"/>
      <c r="AQ29" s="259"/>
      <c r="AR29" s="259"/>
      <c r="AS29" s="259"/>
      <c r="AT29" s="259"/>
      <c r="AU29" s="259"/>
      <c r="AV29" s="259"/>
      <c r="AW29" s="259"/>
      <c r="AX29" s="259"/>
      <c r="AY29" s="259"/>
      <c r="AZ29" s="36"/>
      <c r="BA29" s="259"/>
      <c r="BB29" s="263"/>
      <c r="BC29" s="59"/>
      <c r="BD29" s="72"/>
    </row>
    <row r="30" spans="1:60" ht="15" customHeight="1" thickBot="1">
      <c r="A30" s="454"/>
      <c r="B30" s="428"/>
      <c r="C30" s="428"/>
      <c r="D30" s="18">
        <f t="shared" si="2"/>
        <v>3</v>
      </c>
      <c r="E30" s="18">
        <v>1</v>
      </c>
      <c r="F30" s="16" t="s">
        <v>39</v>
      </c>
      <c r="G30" s="26">
        <v>9</v>
      </c>
      <c r="H30" s="26">
        <f t="shared" si="3"/>
        <v>0</v>
      </c>
      <c r="I30" s="18">
        <v>128</v>
      </c>
      <c r="J30" s="26" t="s">
        <v>37</v>
      </c>
      <c r="K30" s="26"/>
      <c r="L30" s="26"/>
      <c r="M30" s="26"/>
      <c r="N30" s="201"/>
      <c r="O30" s="201"/>
      <c r="P30" s="26"/>
      <c r="Q30" s="26"/>
      <c r="R30" s="91"/>
      <c r="S30" s="91"/>
      <c r="T30" s="26"/>
      <c r="U30" s="26"/>
      <c r="V30" s="201"/>
      <c r="W30" s="201"/>
      <c r="X30" s="26"/>
      <c r="Y30" s="26">
        <v>3</v>
      </c>
      <c r="Z30" s="201"/>
      <c r="AA30" s="91"/>
      <c r="AB30" s="91"/>
      <c r="AC30" s="26">
        <v>3</v>
      </c>
      <c r="AD30" s="26">
        <v>3</v>
      </c>
      <c r="AE30" s="201"/>
      <c r="AF30" s="201"/>
      <c r="AG30" s="26"/>
      <c r="AH30" s="26"/>
      <c r="AI30" s="91"/>
      <c r="AJ30" s="91"/>
      <c r="AK30" s="201"/>
      <c r="AL30" s="201"/>
      <c r="AM30" s="201"/>
      <c r="AN30" s="201"/>
      <c r="AO30" s="26"/>
      <c r="AP30" s="201"/>
      <c r="AQ30" s="91"/>
      <c r="AR30" s="91"/>
      <c r="AS30" s="201"/>
      <c r="AT30" s="201"/>
      <c r="AU30" s="201"/>
      <c r="AV30" s="201"/>
      <c r="AW30" s="201"/>
      <c r="AX30" s="201"/>
      <c r="AY30" s="201"/>
      <c r="AZ30" s="37"/>
      <c r="BA30" s="201"/>
      <c r="BB30" s="207"/>
      <c r="BC30" s="73"/>
      <c r="BD30" s="74"/>
    </row>
    <row r="31" spans="1:60" ht="15" customHeight="1" thickTop="1">
      <c r="A31" s="452" t="s">
        <v>252</v>
      </c>
      <c r="B31" s="508" t="s">
        <v>253</v>
      </c>
      <c r="C31" s="426" t="s">
        <v>254</v>
      </c>
      <c r="D31" s="17">
        <f t="shared" si="2"/>
        <v>2</v>
      </c>
      <c r="E31" s="17">
        <v>2</v>
      </c>
      <c r="F31" s="23" t="s">
        <v>33</v>
      </c>
      <c r="G31" s="23">
        <v>3</v>
      </c>
      <c r="H31" s="23">
        <f t="shared" si="3"/>
        <v>0</v>
      </c>
      <c r="I31" s="17" t="s">
        <v>34</v>
      </c>
      <c r="J31" s="495" t="s">
        <v>74</v>
      </c>
      <c r="K31" s="23"/>
      <c r="L31" s="23"/>
      <c r="M31" s="23"/>
      <c r="N31" s="200"/>
      <c r="O31" s="200"/>
      <c r="P31" s="23"/>
      <c r="Q31" s="23"/>
      <c r="R31" s="89"/>
      <c r="S31" s="89"/>
      <c r="T31" s="23">
        <v>1.5</v>
      </c>
      <c r="U31" s="23">
        <v>1.5</v>
      </c>
      <c r="V31" s="200"/>
      <c r="W31" s="200"/>
      <c r="X31" s="23"/>
      <c r="Y31" s="23"/>
      <c r="Z31" s="200"/>
      <c r="AA31" s="89"/>
      <c r="AB31" s="89"/>
      <c r="AC31" s="23"/>
      <c r="AD31" s="23"/>
      <c r="AE31" s="200"/>
      <c r="AF31" s="200"/>
      <c r="AG31" s="23"/>
      <c r="AH31" s="23"/>
      <c r="AI31" s="89"/>
      <c r="AJ31" s="89"/>
      <c r="AK31" s="257"/>
      <c r="AL31" s="257"/>
      <c r="AM31" s="257"/>
      <c r="AN31" s="257"/>
      <c r="AO31" s="257"/>
      <c r="AP31" s="257"/>
      <c r="AQ31" s="257"/>
      <c r="AR31" s="257"/>
      <c r="AS31" s="257"/>
      <c r="AT31" s="257"/>
      <c r="AU31" s="257"/>
      <c r="AV31" s="257"/>
      <c r="AW31" s="257"/>
      <c r="AX31" s="257"/>
      <c r="AY31" s="257"/>
      <c r="AZ31" s="35"/>
      <c r="BA31" s="257"/>
      <c r="BB31" s="264"/>
      <c r="BC31" s="70"/>
      <c r="BD31" s="71"/>
      <c r="BE31" s="499" t="s">
        <v>255</v>
      </c>
      <c r="BF31" s="500"/>
      <c r="BG31" s="500"/>
      <c r="BH31" s="500"/>
    </row>
    <row r="32" spans="1:60" ht="15" customHeight="1">
      <c r="A32" s="453"/>
      <c r="B32" s="510"/>
      <c r="C32" s="427"/>
      <c r="D32" s="5">
        <f t="shared" si="2"/>
        <v>2</v>
      </c>
      <c r="E32" s="5">
        <v>2</v>
      </c>
      <c r="F32" s="10" t="s">
        <v>36</v>
      </c>
      <c r="G32" s="24">
        <v>3</v>
      </c>
      <c r="H32" s="24">
        <f t="shared" si="3"/>
        <v>0</v>
      </c>
      <c r="I32" s="5" t="s">
        <v>34</v>
      </c>
      <c r="J32" s="496"/>
      <c r="K32" s="24"/>
      <c r="L32" s="24"/>
      <c r="M32" s="24"/>
      <c r="N32" s="202"/>
      <c r="O32" s="202"/>
      <c r="P32" s="24"/>
      <c r="Q32" s="24"/>
      <c r="R32" s="90"/>
      <c r="S32" s="90"/>
      <c r="T32" s="24">
        <v>1.5</v>
      </c>
      <c r="U32" s="24">
        <v>1.5</v>
      </c>
      <c r="V32" s="202"/>
      <c r="W32" s="202"/>
      <c r="X32" s="24"/>
      <c r="Y32" s="24"/>
      <c r="Z32" s="202"/>
      <c r="AA32" s="90"/>
      <c r="AB32" s="90"/>
      <c r="AC32" s="24"/>
      <c r="AD32" s="24"/>
      <c r="AE32" s="202"/>
      <c r="AF32" s="202"/>
      <c r="AG32" s="24"/>
      <c r="AH32" s="24"/>
      <c r="AI32" s="90"/>
      <c r="AJ32" s="90"/>
      <c r="AK32" s="259"/>
      <c r="AL32" s="259"/>
      <c r="AM32" s="259"/>
      <c r="AN32" s="259"/>
      <c r="AO32" s="259"/>
      <c r="AP32" s="259"/>
      <c r="AQ32" s="259"/>
      <c r="AR32" s="259"/>
      <c r="AS32" s="259"/>
      <c r="AT32" s="259"/>
      <c r="AU32" s="259"/>
      <c r="AV32" s="259"/>
      <c r="AW32" s="259"/>
      <c r="AX32" s="259"/>
      <c r="AY32" s="259"/>
      <c r="AZ32" s="36"/>
      <c r="BA32" s="259"/>
      <c r="BB32" s="263"/>
      <c r="BC32" s="59"/>
      <c r="BD32" s="72"/>
      <c r="BE32" s="499"/>
      <c r="BF32" s="500"/>
      <c r="BG32" s="500"/>
      <c r="BH32" s="500"/>
    </row>
    <row r="33" spans="1:60" ht="15" customHeight="1">
      <c r="A33" s="453"/>
      <c r="B33" s="510"/>
      <c r="C33" s="427"/>
      <c r="D33" s="5">
        <f t="shared" si="2"/>
        <v>2</v>
      </c>
      <c r="E33" s="5">
        <v>0</v>
      </c>
      <c r="F33" s="10" t="s">
        <v>39</v>
      </c>
      <c r="G33" s="24">
        <v>3</v>
      </c>
      <c r="H33" s="24">
        <f t="shared" si="3"/>
        <v>0</v>
      </c>
      <c r="I33" s="5">
        <v>123</v>
      </c>
      <c r="J33" s="24" t="s">
        <v>35</v>
      </c>
      <c r="K33" s="24"/>
      <c r="L33" s="24"/>
      <c r="M33" s="24"/>
      <c r="N33" s="202"/>
      <c r="O33" s="202"/>
      <c r="P33" s="24"/>
      <c r="Q33" s="24"/>
      <c r="R33" s="90"/>
      <c r="S33" s="90"/>
      <c r="T33" s="24"/>
      <c r="U33" s="24"/>
      <c r="V33" s="202">
        <v>1.5</v>
      </c>
      <c r="W33" s="202">
        <v>1.5</v>
      </c>
      <c r="X33" s="24"/>
      <c r="Y33" s="24"/>
      <c r="Z33" s="202"/>
      <c r="AA33" s="90"/>
      <c r="AB33" s="90"/>
      <c r="AC33" s="24"/>
      <c r="AD33" s="24"/>
      <c r="AE33" s="202"/>
      <c r="AF33" s="202"/>
      <c r="AG33" s="24"/>
      <c r="AH33" s="24"/>
      <c r="AI33" s="90"/>
      <c r="AJ33" s="90"/>
      <c r="AK33" s="259"/>
      <c r="AL33" s="259"/>
      <c r="AM33" s="259"/>
      <c r="AN33" s="259"/>
      <c r="AO33" s="259"/>
      <c r="AP33" s="259"/>
      <c r="AQ33" s="259"/>
      <c r="AR33" s="259"/>
      <c r="AS33" s="259"/>
      <c r="AT33" s="259"/>
      <c r="AU33" s="259"/>
      <c r="AV33" s="259"/>
      <c r="AW33" s="259"/>
      <c r="AX33" s="259"/>
      <c r="AY33" s="259"/>
      <c r="AZ33" s="36"/>
      <c r="BA33" s="259"/>
      <c r="BB33" s="263"/>
      <c r="BC33" s="59"/>
      <c r="BD33" s="72"/>
      <c r="BE33" s="499"/>
      <c r="BF33" s="500"/>
      <c r="BG33" s="500"/>
      <c r="BH33" s="500"/>
    </row>
    <row r="34" spans="1:60" ht="15" customHeight="1" thickBot="1">
      <c r="A34" s="454"/>
      <c r="B34" s="509"/>
      <c r="C34" s="428"/>
      <c r="D34" s="18">
        <f t="shared" si="2"/>
        <v>2</v>
      </c>
      <c r="E34" s="18">
        <v>1</v>
      </c>
      <c r="F34" s="16" t="s">
        <v>39</v>
      </c>
      <c r="G34" s="26">
        <v>3</v>
      </c>
      <c r="H34" s="26">
        <f t="shared" si="3"/>
        <v>0</v>
      </c>
      <c r="I34" s="18">
        <v>123</v>
      </c>
      <c r="J34" s="26" t="s">
        <v>37</v>
      </c>
      <c r="K34" s="26"/>
      <c r="L34" s="26"/>
      <c r="M34" s="26"/>
      <c r="N34" s="201"/>
      <c r="O34" s="201"/>
      <c r="P34" s="26"/>
      <c r="Q34" s="26"/>
      <c r="R34" s="91"/>
      <c r="S34" s="91"/>
      <c r="T34" s="26"/>
      <c r="U34" s="26"/>
      <c r="V34" s="201"/>
      <c r="W34" s="201"/>
      <c r="X34" s="26">
        <v>1.5</v>
      </c>
      <c r="Y34" s="26">
        <v>1.5</v>
      </c>
      <c r="Z34" s="201"/>
      <c r="AA34" s="91"/>
      <c r="AB34" s="91"/>
      <c r="AC34" s="26"/>
      <c r="AD34" s="26"/>
      <c r="AE34" s="201"/>
      <c r="AF34" s="201"/>
      <c r="AG34" s="26"/>
      <c r="AH34" s="26"/>
      <c r="AI34" s="91"/>
      <c r="AJ34" s="91"/>
      <c r="AK34" s="201"/>
      <c r="AL34" s="201"/>
      <c r="AM34" s="201"/>
      <c r="AN34" s="201"/>
      <c r="AO34" s="26"/>
      <c r="AP34" s="201"/>
      <c r="AQ34" s="91"/>
      <c r="AR34" s="91"/>
      <c r="AS34" s="201"/>
      <c r="AT34" s="201"/>
      <c r="AU34" s="201"/>
      <c r="AV34" s="201"/>
      <c r="AW34" s="201"/>
      <c r="AX34" s="201"/>
      <c r="AY34" s="201"/>
      <c r="AZ34" s="37"/>
      <c r="BA34" s="201"/>
      <c r="BB34" s="207"/>
      <c r="BC34" s="73"/>
      <c r="BD34" s="74"/>
    </row>
    <row r="35" spans="1:60" ht="15" customHeight="1" thickTop="1">
      <c r="A35" s="452" t="s">
        <v>256</v>
      </c>
      <c r="B35" s="505" t="s">
        <v>257</v>
      </c>
      <c r="C35" s="426" t="s">
        <v>73</v>
      </c>
      <c r="D35" s="17">
        <f t="shared" si="2"/>
        <v>5</v>
      </c>
      <c r="E35" s="17">
        <v>2</v>
      </c>
      <c r="F35" s="23" t="s">
        <v>33</v>
      </c>
      <c r="G35" s="23">
        <v>7.5</v>
      </c>
      <c r="H35" s="23">
        <f t="shared" si="3"/>
        <v>0</v>
      </c>
      <c r="I35" s="17" t="s">
        <v>34</v>
      </c>
      <c r="J35" s="495" t="s">
        <v>74</v>
      </c>
      <c r="K35" s="23">
        <v>1.5</v>
      </c>
      <c r="L35" s="23">
        <v>1.5</v>
      </c>
      <c r="M35" s="23">
        <v>1.5</v>
      </c>
      <c r="N35" s="200"/>
      <c r="O35" s="200"/>
      <c r="P35" s="23">
        <v>1.5</v>
      </c>
      <c r="Q35" s="23"/>
      <c r="R35" s="89"/>
      <c r="S35" s="89"/>
      <c r="T35" s="23">
        <v>1.5</v>
      </c>
      <c r="U35" s="23"/>
      <c r="V35" s="200"/>
      <c r="W35" s="200"/>
      <c r="X35" s="23"/>
      <c r="Y35" s="23"/>
      <c r="Z35" s="200"/>
      <c r="AA35" s="89"/>
      <c r="AB35" s="89"/>
      <c r="AC35" s="23"/>
      <c r="AD35" s="23"/>
      <c r="AE35" s="200"/>
      <c r="AF35" s="200"/>
      <c r="AG35" s="23"/>
      <c r="AH35" s="23"/>
      <c r="AI35" s="89"/>
      <c r="AJ35" s="89"/>
      <c r="AK35" s="257"/>
      <c r="AL35" s="257"/>
      <c r="AM35" s="257"/>
      <c r="AN35" s="257"/>
      <c r="AO35" s="257"/>
      <c r="AP35" s="257"/>
      <c r="AQ35" s="257"/>
      <c r="AR35" s="257"/>
      <c r="AS35" s="257"/>
      <c r="AT35" s="257"/>
      <c r="AU35" s="257"/>
      <c r="AV35" s="257"/>
      <c r="AW35" s="257"/>
      <c r="AX35" s="257"/>
      <c r="AY35" s="257"/>
      <c r="AZ35" s="35"/>
      <c r="BA35" s="257"/>
      <c r="BB35" s="264"/>
      <c r="BC35" s="70"/>
      <c r="BD35" s="71"/>
    </row>
    <row r="36" spans="1:60" ht="15" customHeight="1">
      <c r="A36" s="453"/>
      <c r="B36" s="506"/>
      <c r="C36" s="427"/>
      <c r="D36" s="5">
        <f t="shared" si="2"/>
        <v>5</v>
      </c>
      <c r="E36" s="5">
        <v>2</v>
      </c>
      <c r="F36" s="10" t="s">
        <v>36</v>
      </c>
      <c r="G36" s="24">
        <v>7.5</v>
      </c>
      <c r="H36" s="24">
        <f t="shared" si="3"/>
        <v>0</v>
      </c>
      <c r="I36" s="5" t="s">
        <v>34</v>
      </c>
      <c r="J36" s="496"/>
      <c r="K36" s="24">
        <v>1.5</v>
      </c>
      <c r="L36" s="24">
        <v>1.5</v>
      </c>
      <c r="M36" s="24">
        <v>1.5</v>
      </c>
      <c r="N36" s="202"/>
      <c r="O36" s="202"/>
      <c r="P36" s="24">
        <v>1.5</v>
      </c>
      <c r="Q36" s="24">
        <v>1.5</v>
      </c>
      <c r="R36" s="90"/>
      <c r="S36" s="90"/>
      <c r="T36" s="24"/>
      <c r="U36" s="24"/>
      <c r="V36" s="202"/>
      <c r="W36" s="202"/>
      <c r="X36" s="24"/>
      <c r="Y36" s="24"/>
      <c r="Z36" s="202"/>
      <c r="AA36" s="90"/>
      <c r="AB36" s="90"/>
      <c r="AC36" s="24"/>
      <c r="AD36" s="24"/>
      <c r="AE36" s="202"/>
      <c r="AF36" s="202"/>
      <c r="AG36" s="24"/>
      <c r="AH36" s="24"/>
      <c r="AI36" s="90"/>
      <c r="AJ36" s="90"/>
      <c r="AK36" s="259"/>
      <c r="AL36" s="259"/>
      <c r="AM36" s="259"/>
      <c r="AN36" s="259"/>
      <c r="AO36" s="259"/>
      <c r="AP36" s="259"/>
      <c r="AQ36" s="259"/>
      <c r="AR36" s="259"/>
      <c r="AS36" s="259"/>
      <c r="AT36" s="259"/>
      <c r="AU36" s="259"/>
      <c r="AV36" s="259"/>
      <c r="AW36" s="259"/>
      <c r="AX36" s="259"/>
      <c r="AY36" s="259"/>
      <c r="AZ36" s="36"/>
      <c r="BA36" s="259"/>
      <c r="BB36" s="263"/>
      <c r="BC36" s="59"/>
      <c r="BD36" s="72"/>
    </row>
    <row r="37" spans="1:60" ht="15" customHeight="1">
      <c r="A37" s="453"/>
      <c r="B37" s="506"/>
      <c r="C37" s="427"/>
      <c r="D37" s="5">
        <f t="shared" si="2"/>
        <v>6</v>
      </c>
      <c r="E37" s="5">
        <v>0</v>
      </c>
      <c r="F37" s="10" t="s">
        <v>39</v>
      </c>
      <c r="G37" s="24">
        <v>18</v>
      </c>
      <c r="H37" s="24">
        <f t="shared" si="3"/>
        <v>0</v>
      </c>
      <c r="I37" s="5">
        <v>124</v>
      </c>
      <c r="J37" s="24" t="s">
        <v>35</v>
      </c>
      <c r="K37" s="24"/>
      <c r="L37" s="24"/>
      <c r="M37" s="24"/>
      <c r="N37" s="202"/>
      <c r="O37" s="202"/>
      <c r="P37" s="24"/>
      <c r="Q37" s="24"/>
      <c r="R37" s="90"/>
      <c r="S37" s="90"/>
      <c r="T37" s="24"/>
      <c r="U37" s="24">
        <v>3</v>
      </c>
      <c r="V37" s="202">
        <v>3</v>
      </c>
      <c r="W37" s="202">
        <v>3</v>
      </c>
      <c r="X37" s="24">
        <v>3</v>
      </c>
      <c r="Y37" s="24">
        <v>3</v>
      </c>
      <c r="Z37" s="202">
        <v>3</v>
      </c>
      <c r="AA37" s="90"/>
      <c r="AB37" s="90"/>
      <c r="AC37" s="24"/>
      <c r="AD37" s="24"/>
      <c r="AE37" s="202"/>
      <c r="AF37" s="202"/>
      <c r="AG37" s="24"/>
      <c r="AH37" s="24"/>
      <c r="AI37" s="90"/>
      <c r="AJ37" s="90"/>
      <c r="AK37" s="259"/>
      <c r="AL37" s="259"/>
      <c r="AM37" s="259"/>
      <c r="AN37" s="259"/>
      <c r="AO37" s="259"/>
      <c r="AP37" s="259"/>
      <c r="AQ37" s="259"/>
      <c r="AR37" s="259"/>
      <c r="AS37" s="259"/>
      <c r="AT37" s="259"/>
      <c r="AU37" s="259"/>
      <c r="AV37" s="259"/>
      <c r="AW37" s="259"/>
      <c r="AX37" s="259"/>
      <c r="AY37" s="259"/>
      <c r="AZ37" s="36"/>
      <c r="BA37" s="259"/>
      <c r="BB37" s="263"/>
      <c r="BC37" s="59"/>
      <c r="BD37" s="72"/>
    </row>
    <row r="38" spans="1:60" ht="15" customHeight="1" thickBot="1">
      <c r="A38" s="454"/>
      <c r="B38" s="507"/>
      <c r="C38" s="428"/>
      <c r="D38" s="18">
        <f t="shared" si="2"/>
        <v>6</v>
      </c>
      <c r="E38" s="18">
        <v>1</v>
      </c>
      <c r="F38" s="16" t="s">
        <v>39</v>
      </c>
      <c r="G38" s="26">
        <v>18</v>
      </c>
      <c r="H38" s="26">
        <f t="shared" si="3"/>
        <v>0</v>
      </c>
      <c r="I38" s="18">
        <v>124</v>
      </c>
      <c r="J38" s="26" t="s">
        <v>37</v>
      </c>
      <c r="K38" s="26"/>
      <c r="L38" s="26"/>
      <c r="M38" s="26"/>
      <c r="N38" s="201"/>
      <c r="O38" s="201"/>
      <c r="P38" s="26"/>
      <c r="Q38" s="26"/>
      <c r="R38" s="91"/>
      <c r="S38" s="91"/>
      <c r="T38" s="26"/>
      <c r="U38" s="26">
        <v>3</v>
      </c>
      <c r="V38" s="201"/>
      <c r="W38" s="201"/>
      <c r="X38" s="26">
        <v>3</v>
      </c>
      <c r="Y38" s="26">
        <v>3</v>
      </c>
      <c r="Z38" s="201"/>
      <c r="AA38" s="91"/>
      <c r="AB38" s="91"/>
      <c r="AC38" s="26">
        <v>3</v>
      </c>
      <c r="AD38" s="26">
        <v>3</v>
      </c>
      <c r="AE38" s="201"/>
      <c r="AF38" s="201"/>
      <c r="AG38" s="26">
        <v>3</v>
      </c>
      <c r="AH38" s="26"/>
      <c r="AI38" s="91"/>
      <c r="AJ38" s="91"/>
      <c r="AK38" s="201"/>
      <c r="AL38" s="201"/>
      <c r="AM38" s="201"/>
      <c r="AN38" s="201"/>
      <c r="AO38" s="26"/>
      <c r="AP38" s="201"/>
      <c r="AQ38" s="91"/>
      <c r="AR38" s="91"/>
      <c r="AS38" s="201"/>
      <c r="AT38" s="201"/>
      <c r="AU38" s="201"/>
      <c r="AV38" s="201"/>
      <c r="AW38" s="201"/>
      <c r="AX38" s="201"/>
      <c r="AY38" s="201"/>
      <c r="AZ38" s="37"/>
      <c r="BA38" s="201"/>
      <c r="BB38" s="207"/>
      <c r="BC38" s="73"/>
      <c r="BD38" s="74"/>
    </row>
    <row r="39" spans="1:60" ht="15" customHeight="1" thickTop="1">
      <c r="A39" s="452" t="s">
        <v>258</v>
      </c>
      <c r="B39" s="505" t="s">
        <v>259</v>
      </c>
      <c r="C39" s="426" t="s">
        <v>32</v>
      </c>
      <c r="D39" s="17">
        <f t="shared" si="2"/>
        <v>4</v>
      </c>
      <c r="E39" s="17">
        <v>2</v>
      </c>
      <c r="F39" s="23" t="s">
        <v>33</v>
      </c>
      <c r="G39" s="23">
        <v>6</v>
      </c>
      <c r="H39" s="23">
        <f t="shared" si="3"/>
        <v>0</v>
      </c>
      <c r="I39" s="17" t="s">
        <v>34</v>
      </c>
      <c r="J39" s="495" t="s">
        <v>74</v>
      </c>
      <c r="K39" s="23">
        <v>1.5</v>
      </c>
      <c r="L39" s="23">
        <v>1.5</v>
      </c>
      <c r="M39" s="23">
        <v>1.5</v>
      </c>
      <c r="N39" s="200"/>
      <c r="O39" s="200"/>
      <c r="P39" s="23">
        <v>1.5</v>
      </c>
      <c r="Q39" s="23"/>
      <c r="R39" s="89"/>
      <c r="S39" s="89"/>
      <c r="T39" s="23"/>
      <c r="U39" s="23"/>
      <c r="V39" s="200"/>
      <c r="W39" s="200"/>
      <c r="X39" s="23"/>
      <c r="Y39" s="23"/>
      <c r="Z39" s="200"/>
      <c r="AA39" s="89"/>
      <c r="AB39" s="89"/>
      <c r="AC39" s="23"/>
      <c r="AD39" s="23"/>
      <c r="AE39" s="200"/>
      <c r="AF39" s="200"/>
      <c r="AG39" s="23"/>
      <c r="AH39" s="23"/>
      <c r="AI39" s="89"/>
      <c r="AJ39" s="89"/>
      <c r="AK39" s="257"/>
      <c r="AL39" s="257"/>
      <c r="AM39" s="257"/>
      <c r="AN39" s="257"/>
      <c r="AO39" s="257"/>
      <c r="AP39" s="257"/>
      <c r="AQ39" s="257"/>
      <c r="AR39" s="257"/>
      <c r="AS39" s="257"/>
      <c r="AT39" s="257"/>
      <c r="AU39" s="257"/>
      <c r="AV39" s="257"/>
      <c r="AW39" s="257"/>
      <c r="AX39" s="257"/>
      <c r="AY39" s="257"/>
      <c r="AZ39" s="35"/>
      <c r="BA39" s="257"/>
      <c r="BB39" s="264"/>
      <c r="BC39" s="70"/>
      <c r="BD39" s="71"/>
    </row>
    <row r="40" spans="1:60" ht="13.5" customHeight="1">
      <c r="A40" s="453"/>
      <c r="B40" s="506"/>
      <c r="C40" s="427"/>
      <c r="D40" s="5">
        <f t="shared" si="2"/>
        <v>7</v>
      </c>
      <c r="E40" s="5">
        <v>2</v>
      </c>
      <c r="F40" s="10" t="s">
        <v>36</v>
      </c>
      <c r="G40" s="24">
        <v>12</v>
      </c>
      <c r="H40" s="24">
        <f t="shared" si="3"/>
        <v>0</v>
      </c>
      <c r="I40" s="5" t="s">
        <v>34</v>
      </c>
      <c r="J40" s="496"/>
      <c r="K40" s="24">
        <v>1.5</v>
      </c>
      <c r="L40" s="24">
        <v>1.5</v>
      </c>
      <c r="M40" s="24">
        <v>1.5</v>
      </c>
      <c r="N40" s="202"/>
      <c r="O40" s="202"/>
      <c r="P40" s="24">
        <v>1.5</v>
      </c>
      <c r="Q40" s="24">
        <v>3</v>
      </c>
      <c r="R40" s="90"/>
      <c r="S40" s="90"/>
      <c r="T40" s="24">
        <v>1.5</v>
      </c>
      <c r="U40" s="24">
        <v>1.5</v>
      </c>
      <c r="V40" s="202"/>
      <c r="W40" s="202"/>
      <c r="X40" s="24"/>
      <c r="Y40" s="24"/>
      <c r="Z40" s="202"/>
      <c r="AA40" s="90"/>
      <c r="AB40" s="90"/>
      <c r="AC40" s="24"/>
      <c r="AD40" s="24"/>
      <c r="AE40" s="202"/>
      <c r="AF40" s="202"/>
      <c r="AG40" s="24"/>
      <c r="AH40" s="24"/>
      <c r="AI40" s="90"/>
      <c r="AJ40" s="90"/>
      <c r="AK40" s="259"/>
      <c r="AL40" s="259"/>
      <c r="AM40" s="259"/>
      <c r="AN40" s="259"/>
      <c r="AO40" s="259"/>
      <c r="AP40" s="259"/>
      <c r="AQ40" s="259"/>
      <c r="AR40" s="259"/>
      <c r="AS40" s="259"/>
      <c r="AT40" s="259"/>
      <c r="AU40" s="259"/>
      <c r="AV40" s="259"/>
      <c r="AW40" s="259"/>
      <c r="AX40" s="259"/>
      <c r="AY40" s="259"/>
      <c r="AZ40" s="36"/>
      <c r="BA40" s="259"/>
      <c r="BB40" s="263"/>
      <c r="BC40" s="59"/>
      <c r="BD40" s="72"/>
    </row>
    <row r="41" spans="1:60" ht="15" customHeight="1">
      <c r="A41" s="453"/>
      <c r="B41" s="506"/>
      <c r="C41" s="427"/>
      <c r="D41" s="5">
        <f t="shared" si="2"/>
        <v>1</v>
      </c>
      <c r="E41" s="5">
        <v>0</v>
      </c>
      <c r="F41" s="10" t="s">
        <v>39</v>
      </c>
      <c r="G41" s="24">
        <v>6</v>
      </c>
      <c r="H41" s="24">
        <f t="shared" si="3"/>
        <v>0</v>
      </c>
      <c r="I41" s="5">
        <v>124</v>
      </c>
      <c r="J41" s="24" t="s">
        <v>35</v>
      </c>
      <c r="K41" s="24"/>
      <c r="L41" s="24"/>
      <c r="M41" s="24"/>
      <c r="N41" s="202"/>
      <c r="O41" s="202"/>
      <c r="P41" s="24"/>
      <c r="Q41" s="24"/>
      <c r="R41" s="90"/>
      <c r="S41" s="90"/>
      <c r="T41" s="24"/>
      <c r="U41" s="24"/>
      <c r="V41" s="202"/>
      <c r="W41" s="202"/>
      <c r="X41" s="24"/>
      <c r="Y41" s="24"/>
      <c r="Z41" s="202">
        <v>6</v>
      </c>
      <c r="AA41" s="90"/>
      <c r="AB41" s="90"/>
      <c r="AC41" s="24"/>
      <c r="AD41" s="24"/>
      <c r="AE41" s="202"/>
      <c r="AF41" s="202"/>
      <c r="AG41" s="24"/>
      <c r="AH41" s="24"/>
      <c r="AI41" s="90"/>
      <c r="AJ41" s="90"/>
      <c r="AK41" s="259"/>
      <c r="AL41" s="259"/>
      <c r="AM41" s="259"/>
      <c r="AN41" s="259"/>
      <c r="AO41" s="259"/>
      <c r="AP41" s="259"/>
      <c r="AQ41" s="259"/>
      <c r="AR41" s="259"/>
      <c r="AS41" s="259"/>
      <c r="AT41" s="259"/>
      <c r="AU41" s="259"/>
      <c r="AV41" s="259"/>
      <c r="AW41" s="259"/>
      <c r="AX41" s="259"/>
      <c r="AY41" s="259"/>
      <c r="AZ41" s="36"/>
      <c r="BA41" s="259"/>
      <c r="BB41" s="263"/>
      <c r="BC41" s="59"/>
      <c r="BD41" s="72"/>
    </row>
    <row r="42" spans="1:60" ht="15" customHeight="1" thickBot="1">
      <c r="A42" s="454"/>
      <c r="B42" s="507"/>
      <c r="C42" s="428"/>
      <c r="D42" s="18">
        <f t="shared" si="2"/>
        <v>2</v>
      </c>
      <c r="E42" s="18">
        <v>1</v>
      </c>
      <c r="F42" s="16" t="s">
        <v>39</v>
      </c>
      <c r="G42" s="26">
        <v>6</v>
      </c>
      <c r="H42" s="26">
        <f t="shared" si="3"/>
        <v>0</v>
      </c>
      <c r="I42" s="18">
        <v>124</v>
      </c>
      <c r="J42" s="26" t="s">
        <v>37</v>
      </c>
      <c r="K42" s="26"/>
      <c r="L42" s="26"/>
      <c r="M42" s="26"/>
      <c r="N42" s="201"/>
      <c r="O42" s="201"/>
      <c r="P42" s="26"/>
      <c r="Q42" s="26"/>
      <c r="R42" s="91"/>
      <c r="S42" s="91"/>
      <c r="T42" s="26"/>
      <c r="U42" s="26"/>
      <c r="V42" s="201"/>
      <c r="W42" s="201"/>
      <c r="X42" s="26">
        <v>3</v>
      </c>
      <c r="Y42" s="26">
        <v>3</v>
      </c>
      <c r="Z42" s="201"/>
      <c r="AA42" s="91"/>
      <c r="AB42" s="91"/>
      <c r="AC42" s="26"/>
      <c r="AD42" s="26"/>
      <c r="AE42" s="201"/>
      <c r="AF42" s="201"/>
      <c r="AG42" s="26"/>
      <c r="AH42" s="26"/>
      <c r="AI42" s="91"/>
      <c r="AJ42" s="91"/>
      <c r="AK42" s="201"/>
      <c r="AL42" s="201"/>
      <c r="AM42" s="201"/>
      <c r="AN42" s="201"/>
      <c r="AO42" s="26"/>
      <c r="AP42" s="201"/>
      <c r="AQ42" s="91"/>
      <c r="AR42" s="91"/>
      <c r="AS42" s="201"/>
      <c r="AT42" s="201"/>
      <c r="AU42" s="201"/>
      <c r="AV42" s="201"/>
      <c r="AW42" s="201"/>
      <c r="AX42" s="201"/>
      <c r="AY42" s="201"/>
      <c r="AZ42" s="37"/>
      <c r="BA42" s="201"/>
      <c r="BB42" s="207"/>
      <c r="BC42" s="73"/>
      <c r="BD42" s="74"/>
    </row>
    <row r="43" spans="1:60" ht="15" customHeight="1" thickTop="1">
      <c r="A43" s="452" t="s">
        <v>260</v>
      </c>
      <c r="B43" s="505" t="s">
        <v>261</v>
      </c>
      <c r="C43" s="426" t="s">
        <v>262</v>
      </c>
      <c r="D43" s="17">
        <f t="shared" si="2"/>
        <v>3</v>
      </c>
      <c r="E43" s="17">
        <v>2</v>
      </c>
      <c r="F43" s="23" t="s">
        <v>33</v>
      </c>
      <c r="G43" s="23">
        <v>6</v>
      </c>
      <c r="H43" s="23">
        <f t="shared" si="3"/>
        <v>0</v>
      </c>
      <c r="I43" s="17" t="s">
        <v>34</v>
      </c>
      <c r="J43" s="495" t="s">
        <v>74</v>
      </c>
      <c r="K43" s="23">
        <v>3</v>
      </c>
      <c r="L43" s="23">
        <v>1.5</v>
      </c>
      <c r="M43" s="23"/>
      <c r="N43" s="200"/>
      <c r="O43" s="200"/>
      <c r="P43" s="23"/>
      <c r="Q43" s="23">
        <v>1.5</v>
      </c>
      <c r="R43" s="89"/>
      <c r="S43" s="89"/>
      <c r="T43" s="23"/>
      <c r="U43" s="23"/>
      <c r="V43" s="200"/>
      <c r="W43" s="200"/>
      <c r="X43" s="23"/>
      <c r="Y43" s="23"/>
      <c r="Z43" s="200"/>
      <c r="AA43" s="89"/>
      <c r="AB43" s="89"/>
      <c r="AC43" s="23"/>
      <c r="AD43" s="23"/>
      <c r="AE43" s="200"/>
      <c r="AF43" s="200"/>
      <c r="AG43" s="23"/>
      <c r="AH43" s="23"/>
      <c r="AI43" s="89"/>
      <c r="AJ43" s="89"/>
      <c r="AK43" s="257"/>
      <c r="AL43" s="257"/>
      <c r="AM43" s="257"/>
      <c r="AN43" s="257"/>
      <c r="AO43" s="257"/>
      <c r="AP43" s="257"/>
      <c r="AQ43" s="257"/>
      <c r="AR43" s="257"/>
      <c r="AS43" s="257"/>
      <c r="AT43" s="257"/>
      <c r="AU43" s="257"/>
      <c r="AV43" s="257"/>
      <c r="AW43" s="257"/>
      <c r="AX43" s="257"/>
      <c r="AY43" s="257"/>
      <c r="AZ43" s="35"/>
      <c r="BA43" s="257"/>
      <c r="BB43" s="264"/>
      <c r="BC43" s="70"/>
      <c r="BD43" s="71"/>
      <c r="BE43" s="520" t="s">
        <v>263</v>
      </c>
      <c r="BF43" s="521"/>
    </row>
    <row r="44" spans="1:60" ht="15" customHeight="1">
      <c r="A44" s="453"/>
      <c r="B44" s="506"/>
      <c r="C44" s="427"/>
      <c r="D44" s="5">
        <f t="shared" si="2"/>
        <v>3</v>
      </c>
      <c r="E44" s="5">
        <v>2</v>
      </c>
      <c r="F44" s="10" t="s">
        <v>36</v>
      </c>
      <c r="G44" s="24">
        <v>6</v>
      </c>
      <c r="H44" s="24">
        <f t="shared" si="3"/>
        <v>0</v>
      </c>
      <c r="I44" s="5" t="s">
        <v>34</v>
      </c>
      <c r="J44" s="496"/>
      <c r="K44" s="24">
        <v>1.5</v>
      </c>
      <c r="L44" s="24">
        <v>1.5</v>
      </c>
      <c r="M44" s="24"/>
      <c r="N44" s="202"/>
      <c r="O44" s="202"/>
      <c r="P44" s="24"/>
      <c r="Q44" s="24">
        <v>3</v>
      </c>
      <c r="R44" s="90"/>
      <c r="S44" s="90"/>
      <c r="T44" s="24"/>
      <c r="U44" s="24"/>
      <c r="V44" s="202"/>
      <c r="W44" s="202"/>
      <c r="X44" s="24"/>
      <c r="Y44" s="24"/>
      <c r="Z44" s="202"/>
      <c r="AA44" s="90"/>
      <c r="AB44" s="90"/>
      <c r="AC44" s="24"/>
      <c r="AD44" s="24"/>
      <c r="AE44" s="202"/>
      <c r="AF44" s="202"/>
      <c r="AG44" s="24"/>
      <c r="AH44" s="24"/>
      <c r="AI44" s="90"/>
      <c r="AJ44" s="90"/>
      <c r="AK44" s="259"/>
      <c r="AL44" s="259"/>
      <c r="AM44" s="259"/>
      <c r="AN44" s="259"/>
      <c r="AO44" s="259"/>
      <c r="AP44" s="259"/>
      <c r="AQ44" s="259"/>
      <c r="AR44" s="259"/>
      <c r="AS44" s="259"/>
      <c r="AT44" s="259"/>
      <c r="AU44" s="259"/>
      <c r="AV44" s="259"/>
      <c r="AW44" s="259"/>
      <c r="AX44" s="259"/>
      <c r="AY44" s="259"/>
      <c r="AZ44" s="36"/>
      <c r="BA44" s="259"/>
      <c r="BB44" s="263"/>
      <c r="BC44" s="59"/>
      <c r="BD44" s="72"/>
      <c r="BE44" s="520"/>
      <c r="BF44" s="521"/>
    </row>
    <row r="45" spans="1:60" ht="15" customHeight="1">
      <c r="A45" s="453"/>
      <c r="B45" s="506"/>
      <c r="C45" s="427"/>
      <c r="D45" s="5">
        <f t="shared" si="2"/>
        <v>2</v>
      </c>
      <c r="E45" s="5">
        <v>0</v>
      </c>
      <c r="F45" s="10" t="s">
        <v>39</v>
      </c>
      <c r="G45" s="24">
        <v>9</v>
      </c>
      <c r="H45" s="24">
        <f t="shared" si="3"/>
        <v>0</v>
      </c>
      <c r="I45" s="5" t="s">
        <v>34</v>
      </c>
      <c r="J45" s="24" t="s">
        <v>35</v>
      </c>
      <c r="K45" s="24"/>
      <c r="L45" s="24"/>
      <c r="M45" s="24"/>
      <c r="N45" s="202"/>
      <c r="O45" s="202"/>
      <c r="P45" s="24"/>
      <c r="Q45" s="24"/>
      <c r="R45" s="90"/>
      <c r="S45" s="90"/>
      <c r="T45" s="24"/>
      <c r="U45" s="24"/>
      <c r="V45" s="202">
        <v>3</v>
      </c>
      <c r="W45" s="202">
        <v>6</v>
      </c>
      <c r="X45" s="24"/>
      <c r="Y45" s="24"/>
      <c r="Z45" s="202"/>
      <c r="AA45" s="90"/>
      <c r="AB45" s="90"/>
      <c r="AC45" s="24"/>
      <c r="AD45" s="24"/>
      <c r="AE45" s="202"/>
      <c r="AF45" s="202"/>
      <c r="AG45" s="24"/>
      <c r="AH45" s="24"/>
      <c r="AI45" s="90"/>
      <c r="AJ45" s="90"/>
      <c r="AK45" s="259"/>
      <c r="AL45" s="259"/>
      <c r="AM45" s="259"/>
      <c r="AN45" s="259"/>
      <c r="AO45" s="259"/>
      <c r="AP45" s="259"/>
      <c r="AQ45" s="259"/>
      <c r="AR45" s="259"/>
      <c r="AS45" s="259"/>
      <c r="AT45" s="259"/>
      <c r="AU45" s="259"/>
      <c r="AV45" s="259"/>
      <c r="AW45" s="259"/>
      <c r="AX45" s="259"/>
      <c r="AY45" s="259"/>
      <c r="AZ45" s="36"/>
      <c r="BA45" s="259"/>
      <c r="BB45" s="263"/>
      <c r="BC45" s="59"/>
      <c r="BD45" s="72"/>
      <c r="BE45" s="520"/>
      <c r="BF45" s="521"/>
    </row>
    <row r="46" spans="1:60" ht="15" customHeight="1" thickBot="1">
      <c r="A46" s="454"/>
      <c r="B46" s="507"/>
      <c r="C46" s="428"/>
      <c r="D46" s="18">
        <f t="shared" si="2"/>
        <v>2</v>
      </c>
      <c r="E46" s="18">
        <v>1</v>
      </c>
      <c r="F46" s="16" t="s">
        <v>39</v>
      </c>
      <c r="G46" s="26">
        <v>9</v>
      </c>
      <c r="H46" s="26">
        <f t="shared" si="3"/>
        <v>0</v>
      </c>
      <c r="I46" s="18" t="s">
        <v>34</v>
      </c>
      <c r="J46" s="26" t="s">
        <v>37</v>
      </c>
      <c r="K46" s="26"/>
      <c r="L46" s="26"/>
      <c r="M46" s="26"/>
      <c r="N46" s="201"/>
      <c r="O46" s="201"/>
      <c r="P46" s="26"/>
      <c r="Q46" s="26"/>
      <c r="R46" s="91"/>
      <c r="S46" s="91"/>
      <c r="T46" s="26"/>
      <c r="U46" s="26"/>
      <c r="V46" s="201"/>
      <c r="W46" s="201"/>
      <c r="X46" s="26">
        <v>3</v>
      </c>
      <c r="Y46" s="26">
        <v>6</v>
      </c>
      <c r="Z46" s="201"/>
      <c r="AA46" s="91"/>
      <c r="AB46" s="91"/>
      <c r="AC46" s="26"/>
      <c r="AD46" s="26"/>
      <c r="AE46" s="201"/>
      <c r="AF46" s="201"/>
      <c r="AG46" s="26"/>
      <c r="AH46" s="26"/>
      <c r="AI46" s="91"/>
      <c r="AJ46" s="91"/>
      <c r="AK46" s="201"/>
      <c r="AL46" s="201"/>
      <c r="AM46" s="201"/>
      <c r="AN46" s="201"/>
      <c r="AO46" s="26"/>
      <c r="AP46" s="201"/>
      <c r="AQ46" s="91"/>
      <c r="AR46" s="91"/>
      <c r="AS46" s="201"/>
      <c r="AT46" s="201"/>
      <c r="AU46" s="201"/>
      <c r="AV46" s="201"/>
      <c r="AW46" s="201"/>
      <c r="AX46" s="201"/>
      <c r="AY46" s="201"/>
      <c r="AZ46" s="37"/>
      <c r="BA46" s="201"/>
      <c r="BB46" s="207"/>
      <c r="BC46" s="73"/>
      <c r="BD46" s="74"/>
      <c r="BE46" s="520"/>
      <c r="BF46" s="521"/>
    </row>
    <row r="47" spans="1:60" ht="15" customHeight="1" thickTop="1">
      <c r="A47" s="452" t="s">
        <v>264</v>
      </c>
      <c r="B47" s="505" t="s">
        <v>265</v>
      </c>
      <c r="C47" s="426" t="s">
        <v>262</v>
      </c>
      <c r="D47" s="17">
        <f t="shared" si="2"/>
        <v>0</v>
      </c>
      <c r="E47" s="17">
        <v>2</v>
      </c>
      <c r="F47" s="23" t="s">
        <v>33</v>
      </c>
      <c r="G47" s="23">
        <v>0</v>
      </c>
      <c r="H47" s="23">
        <f t="shared" si="3"/>
        <v>0</v>
      </c>
      <c r="I47" s="17" t="s">
        <v>34</v>
      </c>
      <c r="J47" s="495" t="s">
        <v>74</v>
      </c>
      <c r="K47" s="27"/>
      <c r="L47" s="27"/>
      <c r="M47" s="27"/>
      <c r="N47" s="200"/>
      <c r="O47" s="200"/>
      <c r="P47" s="27"/>
      <c r="Q47" s="27"/>
      <c r="R47" s="92"/>
      <c r="S47" s="92"/>
      <c r="T47" s="27"/>
      <c r="U47" s="27"/>
      <c r="V47" s="203"/>
      <c r="W47" s="203"/>
      <c r="X47" s="27"/>
      <c r="Y47" s="27"/>
      <c r="Z47" s="203"/>
      <c r="AA47" s="92"/>
      <c r="AB47" s="92"/>
      <c r="AC47" s="27"/>
      <c r="AD47" s="27"/>
      <c r="AE47" s="203"/>
      <c r="AF47" s="203"/>
      <c r="AG47" s="27"/>
      <c r="AH47" s="27"/>
      <c r="AI47" s="92"/>
      <c r="AJ47" s="92"/>
      <c r="AK47" s="260"/>
      <c r="AL47" s="260"/>
      <c r="AM47" s="260"/>
      <c r="AN47" s="260"/>
      <c r="AO47" s="260"/>
      <c r="AP47" s="260"/>
      <c r="AQ47" s="260"/>
      <c r="AR47" s="260"/>
      <c r="AS47" s="260"/>
      <c r="AT47" s="260"/>
      <c r="AU47" s="260"/>
      <c r="AV47" s="260"/>
      <c r="AW47" s="260"/>
      <c r="AX47" s="260"/>
      <c r="AY47" s="260"/>
      <c r="AZ47" s="38"/>
      <c r="BA47" s="260"/>
      <c r="BB47" s="264"/>
      <c r="BC47" s="70"/>
      <c r="BD47" s="71"/>
    </row>
    <row r="48" spans="1:60" ht="15" customHeight="1">
      <c r="A48" s="453"/>
      <c r="B48" s="506"/>
      <c r="C48" s="427"/>
      <c r="D48" s="5">
        <f t="shared" si="2"/>
        <v>1</v>
      </c>
      <c r="E48" s="5">
        <v>2</v>
      </c>
      <c r="F48" s="10" t="s">
        <v>36</v>
      </c>
      <c r="G48" s="24">
        <v>2</v>
      </c>
      <c r="H48" s="24">
        <f t="shared" si="3"/>
        <v>0</v>
      </c>
      <c r="I48" s="5" t="s">
        <v>34</v>
      </c>
      <c r="J48" s="496"/>
      <c r="K48" s="28"/>
      <c r="L48" s="28">
        <v>2</v>
      </c>
      <c r="M48" s="28"/>
      <c r="N48" s="202"/>
      <c r="O48" s="202"/>
      <c r="P48" s="28"/>
      <c r="Q48" s="28"/>
      <c r="R48" s="93"/>
      <c r="S48" s="93"/>
      <c r="T48" s="28"/>
      <c r="U48" s="28"/>
      <c r="V48" s="204"/>
      <c r="W48" s="204"/>
      <c r="X48" s="28"/>
      <c r="Y48" s="28"/>
      <c r="Z48" s="204"/>
      <c r="AA48" s="93"/>
      <c r="AB48" s="93"/>
      <c r="AC48" s="28"/>
      <c r="AD48" s="28"/>
      <c r="AE48" s="204"/>
      <c r="AF48" s="204"/>
      <c r="AG48" s="28"/>
      <c r="AH48" s="28"/>
      <c r="AI48" s="93"/>
      <c r="AJ48" s="93"/>
      <c r="AK48" s="261"/>
      <c r="AL48" s="261"/>
      <c r="AM48" s="261"/>
      <c r="AN48" s="261"/>
      <c r="AO48" s="261"/>
      <c r="AP48" s="261"/>
      <c r="AQ48" s="261"/>
      <c r="AR48" s="261"/>
      <c r="AS48" s="261"/>
      <c r="AT48" s="261"/>
      <c r="AU48" s="261"/>
      <c r="AV48" s="261"/>
      <c r="AW48" s="261"/>
      <c r="AX48" s="261"/>
      <c r="AY48" s="261"/>
      <c r="AZ48" s="39"/>
      <c r="BA48" s="261"/>
      <c r="BB48" s="263"/>
      <c r="BC48" s="59"/>
      <c r="BD48" s="72"/>
    </row>
    <row r="49" spans="1:56" ht="15" customHeight="1">
      <c r="A49" s="453"/>
      <c r="B49" s="506"/>
      <c r="C49" s="427"/>
      <c r="D49" s="5">
        <f t="shared" si="2"/>
        <v>2</v>
      </c>
      <c r="E49" s="10">
        <v>0</v>
      </c>
      <c r="F49" s="10" t="s">
        <v>39</v>
      </c>
      <c r="G49" s="24">
        <v>6</v>
      </c>
      <c r="H49" s="24">
        <f t="shared" si="3"/>
        <v>0</v>
      </c>
      <c r="I49" s="5" t="s">
        <v>34</v>
      </c>
      <c r="J49" s="24" t="s">
        <v>35</v>
      </c>
      <c r="K49" s="28"/>
      <c r="L49" s="28"/>
      <c r="M49" s="28"/>
      <c r="N49" s="202">
        <v>3</v>
      </c>
      <c r="O49" s="202"/>
      <c r="P49" s="28"/>
      <c r="Q49" s="28">
        <v>3</v>
      </c>
      <c r="R49" s="93"/>
      <c r="S49" s="93"/>
      <c r="T49" s="28"/>
      <c r="U49" s="28"/>
      <c r="V49" s="204"/>
      <c r="W49" s="204"/>
      <c r="X49" s="28"/>
      <c r="Y49" s="28"/>
      <c r="Z49" s="204"/>
      <c r="AA49" s="93"/>
      <c r="AB49" s="93"/>
      <c r="AC49" s="28"/>
      <c r="AD49" s="28"/>
      <c r="AE49" s="204"/>
      <c r="AF49" s="204"/>
      <c r="AG49" s="28"/>
      <c r="AH49" s="28"/>
      <c r="AI49" s="93"/>
      <c r="AJ49" s="93"/>
      <c r="AK49" s="261"/>
      <c r="AL49" s="261"/>
      <c r="AM49" s="261"/>
      <c r="AN49" s="261"/>
      <c r="AO49" s="261"/>
      <c r="AP49" s="261"/>
      <c r="AQ49" s="261"/>
      <c r="AR49" s="261"/>
      <c r="AS49" s="261"/>
      <c r="AT49" s="261"/>
      <c r="AU49" s="261"/>
      <c r="AV49" s="261"/>
      <c r="AW49" s="261"/>
      <c r="AX49" s="261"/>
      <c r="AY49" s="261"/>
      <c r="AZ49" s="39"/>
      <c r="BA49" s="261"/>
      <c r="BB49" s="263"/>
      <c r="BC49" s="59"/>
      <c r="BD49" s="72"/>
    </row>
    <row r="50" spans="1:56" ht="15" customHeight="1" thickBot="1">
      <c r="A50" s="454"/>
      <c r="B50" s="507"/>
      <c r="C50" s="428"/>
      <c r="D50" s="18">
        <f t="shared" si="2"/>
        <v>2</v>
      </c>
      <c r="E50" s="18">
        <v>1</v>
      </c>
      <c r="F50" s="16" t="s">
        <v>39</v>
      </c>
      <c r="G50" s="26">
        <v>6</v>
      </c>
      <c r="H50" s="26">
        <f t="shared" si="3"/>
        <v>0</v>
      </c>
      <c r="I50" s="18" t="s">
        <v>34</v>
      </c>
      <c r="J50" s="26" t="s">
        <v>37</v>
      </c>
      <c r="K50" s="29"/>
      <c r="L50" s="29"/>
      <c r="M50" s="29"/>
      <c r="N50" s="201"/>
      <c r="O50" s="201"/>
      <c r="P50" s="29"/>
      <c r="Q50" s="29">
        <v>3</v>
      </c>
      <c r="R50" s="94"/>
      <c r="S50" s="94"/>
      <c r="T50" s="29"/>
      <c r="U50" s="29"/>
      <c r="V50" s="205"/>
      <c r="W50" s="205"/>
      <c r="X50" s="29">
        <v>3</v>
      </c>
      <c r="Y50" s="29"/>
      <c r="Z50" s="205"/>
      <c r="AA50" s="94"/>
      <c r="AB50" s="94"/>
      <c r="AC50" s="29"/>
      <c r="AD50" s="29"/>
      <c r="AE50" s="205"/>
      <c r="AF50" s="205"/>
      <c r="AG50" s="29"/>
      <c r="AH50" s="29"/>
      <c r="AI50" s="94"/>
      <c r="AJ50" s="94"/>
      <c r="AK50" s="205"/>
      <c r="AL50" s="205"/>
      <c r="AM50" s="205"/>
      <c r="AN50" s="205"/>
      <c r="AO50" s="29"/>
      <c r="AP50" s="205"/>
      <c r="AQ50" s="94"/>
      <c r="AR50" s="94"/>
      <c r="AS50" s="205"/>
      <c r="AT50" s="205"/>
      <c r="AU50" s="205"/>
      <c r="AV50" s="205"/>
      <c r="AW50" s="205"/>
      <c r="AX50" s="205"/>
      <c r="AY50" s="205"/>
      <c r="AZ50" s="40"/>
      <c r="BA50" s="205"/>
      <c r="BB50" s="207"/>
      <c r="BC50" s="73"/>
      <c r="BD50" s="74"/>
    </row>
    <row r="51" spans="1:56" ht="15" customHeight="1" thickTop="1">
      <c r="A51" s="452" t="s">
        <v>266</v>
      </c>
      <c r="B51" s="505" t="s">
        <v>267</v>
      </c>
      <c r="C51" s="426" t="s">
        <v>51</v>
      </c>
      <c r="D51" s="17">
        <f t="shared" si="2"/>
        <v>2</v>
      </c>
      <c r="E51" s="17">
        <v>2</v>
      </c>
      <c r="F51" s="23" t="s">
        <v>33</v>
      </c>
      <c r="G51" s="23">
        <v>4</v>
      </c>
      <c r="H51" s="23">
        <f t="shared" si="3"/>
        <v>0</v>
      </c>
      <c r="I51" s="17" t="s">
        <v>34</v>
      </c>
      <c r="J51" s="495" t="s">
        <v>74</v>
      </c>
      <c r="K51" s="27">
        <v>2</v>
      </c>
      <c r="L51" s="27">
        <v>2</v>
      </c>
      <c r="M51" s="27"/>
      <c r="N51" s="200"/>
      <c r="O51" s="200"/>
      <c r="P51" s="27"/>
      <c r="Q51" s="27"/>
      <c r="R51" s="92"/>
      <c r="S51" s="92"/>
      <c r="T51" s="27"/>
      <c r="U51" s="27"/>
      <c r="V51" s="203"/>
      <c r="W51" s="203"/>
      <c r="X51" s="27"/>
      <c r="Y51" s="27"/>
      <c r="Z51" s="203"/>
      <c r="AA51" s="92"/>
      <c r="AB51" s="92"/>
      <c r="AC51" s="27"/>
      <c r="AD51" s="27"/>
      <c r="AE51" s="203"/>
      <c r="AF51" s="203"/>
      <c r="AG51" s="27"/>
      <c r="AH51" s="27"/>
      <c r="AI51" s="92"/>
      <c r="AJ51" s="92"/>
      <c r="AK51" s="203"/>
      <c r="AL51" s="203"/>
      <c r="AM51" s="203"/>
      <c r="AN51" s="203"/>
      <c r="AO51" s="27"/>
      <c r="AP51" s="203"/>
      <c r="AQ51" s="92"/>
      <c r="AR51" s="92"/>
      <c r="AS51" s="203"/>
      <c r="AT51" s="203"/>
      <c r="AU51" s="203"/>
      <c r="AV51" s="203"/>
      <c r="AW51" s="203"/>
      <c r="AX51" s="203"/>
      <c r="AY51" s="203"/>
      <c r="AZ51" s="38"/>
      <c r="BA51" s="203"/>
      <c r="BB51" s="208"/>
      <c r="BC51" s="70"/>
      <c r="BD51" s="71"/>
    </row>
    <row r="52" spans="1:56" ht="15" customHeight="1" thickBot="1">
      <c r="A52" s="454"/>
      <c r="B52" s="507"/>
      <c r="C52" s="428"/>
      <c r="D52" s="18">
        <f t="shared" si="2"/>
        <v>2</v>
      </c>
      <c r="E52" s="18">
        <v>2</v>
      </c>
      <c r="F52" s="16" t="s">
        <v>36</v>
      </c>
      <c r="G52" s="26">
        <v>4</v>
      </c>
      <c r="H52" s="26">
        <f t="shared" si="3"/>
        <v>0</v>
      </c>
      <c r="I52" s="18" t="s">
        <v>34</v>
      </c>
      <c r="J52" s="504"/>
      <c r="K52" s="29"/>
      <c r="L52" s="29"/>
      <c r="M52" s="29">
        <v>2</v>
      </c>
      <c r="N52" s="201"/>
      <c r="O52" s="201"/>
      <c r="P52" s="29">
        <v>2</v>
      </c>
      <c r="Q52" s="29"/>
      <c r="R52" s="94"/>
      <c r="S52" s="94"/>
      <c r="T52" s="29"/>
      <c r="U52" s="29"/>
      <c r="V52" s="205"/>
      <c r="W52" s="205"/>
      <c r="X52" s="29"/>
      <c r="Y52" s="29"/>
      <c r="Z52" s="205"/>
      <c r="AA52" s="94"/>
      <c r="AB52" s="94"/>
      <c r="AC52" s="29"/>
      <c r="AD52" s="29"/>
      <c r="AE52" s="205"/>
      <c r="AF52" s="205"/>
      <c r="AG52" s="29"/>
      <c r="AH52" s="29"/>
      <c r="AI52" s="94"/>
      <c r="AJ52" s="94"/>
      <c r="AK52" s="205"/>
      <c r="AL52" s="205"/>
      <c r="AM52" s="205"/>
      <c r="AN52" s="205"/>
      <c r="AO52" s="29"/>
      <c r="AP52" s="205"/>
      <c r="AQ52" s="94"/>
      <c r="AR52" s="94"/>
      <c r="AS52" s="205"/>
      <c r="AT52" s="205"/>
      <c r="AU52" s="205"/>
      <c r="AV52" s="205"/>
      <c r="AW52" s="205"/>
      <c r="AX52" s="205"/>
      <c r="AY52" s="205"/>
      <c r="AZ52" s="40"/>
      <c r="BA52" s="205"/>
      <c r="BB52" s="207"/>
      <c r="BC52" s="73"/>
      <c r="BD52" s="74"/>
    </row>
    <row r="53" spans="1:56" ht="15" customHeight="1" thickTop="1">
      <c r="A53" s="452" t="s">
        <v>268</v>
      </c>
      <c r="B53" s="426" t="s">
        <v>269</v>
      </c>
      <c r="C53" s="426" t="s">
        <v>270</v>
      </c>
      <c r="D53" s="17">
        <f t="shared" si="2"/>
        <v>0</v>
      </c>
      <c r="E53" s="17">
        <v>2</v>
      </c>
      <c r="F53" s="23" t="s">
        <v>33</v>
      </c>
      <c r="G53" s="23">
        <v>3</v>
      </c>
      <c r="H53" s="23">
        <f t="shared" si="3"/>
        <v>3</v>
      </c>
      <c r="I53" s="17"/>
      <c r="J53" s="495" t="s">
        <v>74</v>
      </c>
      <c r="K53" s="27"/>
      <c r="L53" s="27"/>
      <c r="M53" s="27"/>
      <c r="N53" s="200"/>
      <c r="O53" s="200"/>
      <c r="P53" s="27"/>
      <c r="Q53" s="27"/>
      <c r="R53" s="92"/>
      <c r="S53" s="92"/>
      <c r="T53" s="27"/>
      <c r="U53" s="27"/>
      <c r="V53" s="203"/>
      <c r="W53" s="203"/>
      <c r="X53" s="27"/>
      <c r="Y53" s="27"/>
      <c r="Z53" s="203"/>
      <c r="AA53" s="92"/>
      <c r="AB53" s="92"/>
      <c r="AC53" s="27"/>
      <c r="AD53" s="27"/>
      <c r="AE53" s="203"/>
      <c r="AF53" s="203"/>
      <c r="AG53" s="27"/>
      <c r="AH53" s="27"/>
      <c r="AI53" s="92"/>
      <c r="AJ53" s="92"/>
      <c r="AK53" s="260"/>
      <c r="AL53" s="260"/>
      <c r="AM53" s="260"/>
      <c r="AN53" s="260"/>
      <c r="AO53" s="260"/>
      <c r="AP53" s="260"/>
      <c r="AQ53" s="260"/>
      <c r="AR53" s="260"/>
      <c r="AS53" s="260"/>
      <c r="AT53" s="260"/>
      <c r="AU53" s="260"/>
      <c r="AV53" s="260"/>
      <c r="AW53" s="260"/>
      <c r="AX53" s="260"/>
      <c r="AY53" s="260"/>
      <c r="AZ53" s="38"/>
      <c r="BA53" s="260"/>
      <c r="BB53" s="264"/>
      <c r="BC53" s="70"/>
      <c r="BD53" s="71"/>
    </row>
    <row r="54" spans="1:56">
      <c r="A54" s="453"/>
      <c r="B54" s="427"/>
      <c r="C54" s="427"/>
      <c r="D54" s="5">
        <f t="shared" si="2"/>
        <v>0</v>
      </c>
      <c r="E54" s="5">
        <v>2</v>
      </c>
      <c r="F54" s="10" t="s">
        <v>36</v>
      </c>
      <c r="G54" s="24">
        <v>3</v>
      </c>
      <c r="H54" s="24">
        <f t="shared" si="3"/>
        <v>3</v>
      </c>
      <c r="I54" s="5"/>
      <c r="J54" s="496"/>
      <c r="K54" s="28"/>
      <c r="L54" s="28"/>
      <c r="M54" s="28"/>
      <c r="N54" s="202"/>
      <c r="O54" s="202"/>
      <c r="P54" s="28"/>
      <c r="Q54" s="28"/>
      <c r="R54" s="93"/>
      <c r="S54" s="93"/>
      <c r="T54" s="28"/>
      <c r="U54" s="28"/>
      <c r="V54" s="204"/>
      <c r="W54" s="204"/>
      <c r="X54" s="28"/>
      <c r="Y54" s="28"/>
      <c r="Z54" s="204"/>
      <c r="AA54" s="93"/>
      <c r="AB54" s="93"/>
      <c r="AC54" s="28"/>
      <c r="AD54" s="28"/>
      <c r="AE54" s="204"/>
      <c r="AF54" s="204"/>
      <c r="AG54" s="28"/>
      <c r="AH54" s="28"/>
      <c r="AI54" s="93"/>
      <c r="AJ54" s="93"/>
      <c r="AK54" s="261"/>
      <c r="AL54" s="261"/>
      <c r="AM54" s="261"/>
      <c r="AN54" s="261"/>
      <c r="AO54" s="261"/>
      <c r="AP54" s="261"/>
      <c r="AQ54" s="261"/>
      <c r="AR54" s="261"/>
      <c r="AS54" s="261"/>
      <c r="AT54" s="261"/>
      <c r="AU54" s="261"/>
      <c r="AV54" s="261"/>
      <c r="AW54" s="261"/>
      <c r="AX54" s="261"/>
      <c r="AY54" s="261"/>
      <c r="AZ54" s="39"/>
      <c r="BA54" s="261"/>
      <c r="BB54" s="263"/>
      <c r="BC54" s="59"/>
      <c r="BD54" s="72"/>
    </row>
    <row r="55" spans="1:56">
      <c r="A55" s="453"/>
      <c r="B55" s="427"/>
      <c r="C55" s="427"/>
      <c r="D55" s="5">
        <f t="shared" si="2"/>
        <v>0</v>
      </c>
      <c r="E55" s="5">
        <v>0</v>
      </c>
      <c r="F55" s="10" t="s">
        <v>39</v>
      </c>
      <c r="G55" s="24">
        <v>6</v>
      </c>
      <c r="H55" s="24">
        <f t="shared" si="3"/>
        <v>6</v>
      </c>
      <c r="I55" s="5"/>
      <c r="J55" s="24" t="s">
        <v>35</v>
      </c>
      <c r="K55" s="28"/>
      <c r="L55" s="28"/>
      <c r="M55" s="28"/>
      <c r="N55" s="202"/>
      <c r="O55" s="202"/>
      <c r="P55" s="28"/>
      <c r="Q55" s="28"/>
      <c r="R55" s="93"/>
      <c r="S55" s="93"/>
      <c r="T55" s="28"/>
      <c r="U55" s="28"/>
      <c r="V55" s="204"/>
      <c r="W55" s="204"/>
      <c r="X55" s="28"/>
      <c r="Y55" s="28"/>
      <c r="Z55" s="204"/>
      <c r="AA55" s="93"/>
      <c r="AB55" s="93"/>
      <c r="AC55" s="28"/>
      <c r="AD55" s="28"/>
      <c r="AE55" s="204"/>
      <c r="AF55" s="204"/>
      <c r="AG55" s="28"/>
      <c r="AH55" s="28"/>
      <c r="AI55" s="93"/>
      <c r="AJ55" s="93"/>
      <c r="AK55" s="261"/>
      <c r="AL55" s="261"/>
      <c r="AM55" s="261"/>
      <c r="AN55" s="261"/>
      <c r="AO55" s="261"/>
      <c r="AP55" s="261"/>
      <c r="AQ55" s="261"/>
      <c r="AR55" s="261"/>
      <c r="AS55" s="261"/>
      <c r="AT55" s="261"/>
      <c r="AU55" s="261"/>
      <c r="AV55" s="261"/>
      <c r="AW55" s="261"/>
      <c r="AX55" s="261"/>
      <c r="AY55" s="261"/>
      <c r="AZ55" s="39"/>
      <c r="BA55" s="261"/>
      <c r="BB55" s="263"/>
      <c r="BC55" s="59"/>
      <c r="BD55" s="72"/>
    </row>
    <row r="56" spans="1:56" ht="15" customHeight="1" thickBot="1">
      <c r="A56" s="454"/>
      <c r="B56" s="428"/>
      <c r="C56" s="428"/>
      <c r="D56" s="18">
        <f t="shared" si="2"/>
        <v>0</v>
      </c>
      <c r="E56" s="18">
        <v>1</v>
      </c>
      <c r="F56" s="16" t="s">
        <v>39</v>
      </c>
      <c r="G56" s="26">
        <v>6</v>
      </c>
      <c r="H56" s="26">
        <f t="shared" si="3"/>
        <v>6</v>
      </c>
      <c r="I56" s="18"/>
      <c r="J56" s="26" t="s">
        <v>37</v>
      </c>
      <c r="K56" s="29"/>
      <c r="L56" s="29"/>
      <c r="M56" s="29"/>
      <c r="N56" s="201"/>
      <c r="O56" s="201"/>
      <c r="P56" s="29"/>
      <c r="Q56" s="29"/>
      <c r="R56" s="94"/>
      <c r="S56" s="94"/>
      <c r="T56" s="29"/>
      <c r="U56" s="29"/>
      <c r="V56" s="205"/>
      <c r="W56" s="205"/>
      <c r="X56" s="29"/>
      <c r="Y56" s="29"/>
      <c r="Z56" s="205"/>
      <c r="AA56" s="94"/>
      <c r="AB56" s="94"/>
      <c r="AC56" s="29"/>
      <c r="AD56" s="29"/>
      <c r="AE56" s="205"/>
      <c r="AF56" s="205"/>
      <c r="AG56" s="29"/>
      <c r="AH56" s="29"/>
      <c r="AI56" s="94"/>
      <c r="AJ56" s="94"/>
      <c r="AK56" s="205"/>
      <c r="AL56" s="205"/>
      <c r="AM56" s="205"/>
      <c r="AN56" s="205"/>
      <c r="AO56" s="29"/>
      <c r="AP56" s="205"/>
      <c r="AQ56" s="94"/>
      <c r="AR56" s="94"/>
      <c r="AS56" s="205"/>
      <c r="AT56" s="205"/>
      <c r="AU56" s="205"/>
      <c r="AV56" s="205"/>
      <c r="AW56" s="205"/>
      <c r="AX56" s="205"/>
      <c r="AY56" s="205"/>
      <c r="AZ56" s="40"/>
      <c r="BA56" s="205"/>
      <c r="BB56" s="207"/>
      <c r="BC56" s="73"/>
      <c r="BD56" s="74"/>
    </row>
    <row r="57" spans="1:56" ht="15" customHeight="1" thickTop="1">
      <c r="A57" s="452" t="s">
        <v>271</v>
      </c>
      <c r="B57" s="505" t="s">
        <v>272</v>
      </c>
      <c r="C57" s="426" t="s">
        <v>273</v>
      </c>
      <c r="D57" s="17">
        <f t="shared" si="2"/>
        <v>5</v>
      </c>
      <c r="E57" s="17">
        <v>2</v>
      </c>
      <c r="F57" s="15" t="s">
        <v>33</v>
      </c>
      <c r="G57" s="23">
        <v>9</v>
      </c>
      <c r="H57" s="23">
        <f t="shared" si="3"/>
        <v>0</v>
      </c>
      <c r="I57" s="17" t="s">
        <v>34</v>
      </c>
      <c r="J57" s="495" t="s">
        <v>74</v>
      </c>
      <c r="K57" s="27"/>
      <c r="L57" s="27">
        <v>3</v>
      </c>
      <c r="M57" s="27">
        <v>1.5</v>
      </c>
      <c r="N57" s="200"/>
      <c r="O57" s="200"/>
      <c r="P57" s="27">
        <v>1.5</v>
      </c>
      <c r="Q57" s="27">
        <v>1.5</v>
      </c>
      <c r="R57" s="92"/>
      <c r="S57" s="92"/>
      <c r="T57" s="27">
        <v>1.5</v>
      </c>
      <c r="U57" s="27"/>
      <c r="V57" s="203"/>
      <c r="W57" s="203"/>
      <c r="X57" s="27"/>
      <c r="Y57" s="27"/>
      <c r="Z57" s="203"/>
      <c r="AA57" s="92"/>
      <c r="AB57" s="92"/>
      <c r="AC57" s="27"/>
      <c r="AD57" s="27"/>
      <c r="AE57" s="203"/>
      <c r="AF57" s="203"/>
      <c r="AG57" s="27"/>
      <c r="AH57" s="27"/>
      <c r="AI57" s="92"/>
      <c r="AJ57" s="92"/>
      <c r="AK57" s="260"/>
      <c r="AL57" s="260"/>
      <c r="AM57" s="260"/>
      <c r="AN57" s="260"/>
      <c r="AO57" s="260"/>
      <c r="AP57" s="260"/>
      <c r="AQ57" s="260"/>
      <c r="AR57" s="260"/>
      <c r="AS57" s="260"/>
      <c r="AT57" s="260"/>
      <c r="AU57" s="260"/>
      <c r="AV57" s="260"/>
      <c r="AW57" s="260"/>
      <c r="AX57" s="260"/>
      <c r="AY57" s="260"/>
      <c r="AZ57" s="38"/>
      <c r="BA57" s="260"/>
      <c r="BB57" s="264"/>
      <c r="BC57" s="70"/>
      <c r="BD57" s="71"/>
    </row>
    <row r="58" spans="1:56" ht="15" customHeight="1">
      <c r="A58" s="453"/>
      <c r="B58" s="506"/>
      <c r="C58" s="427"/>
      <c r="D58" s="5">
        <f t="shared" si="2"/>
        <v>5</v>
      </c>
      <c r="E58" s="5">
        <v>2</v>
      </c>
      <c r="F58" s="10" t="s">
        <v>36</v>
      </c>
      <c r="G58" s="24">
        <v>9</v>
      </c>
      <c r="H58" s="24">
        <f t="shared" si="3"/>
        <v>0</v>
      </c>
      <c r="I58" s="5" t="s">
        <v>34</v>
      </c>
      <c r="J58" s="496"/>
      <c r="K58" s="28"/>
      <c r="L58" s="28">
        <v>3</v>
      </c>
      <c r="M58" s="28">
        <v>1.5</v>
      </c>
      <c r="N58" s="202"/>
      <c r="O58" s="202"/>
      <c r="P58" s="28">
        <v>1.5</v>
      </c>
      <c r="Q58" s="28">
        <v>1.5</v>
      </c>
      <c r="R58" s="93"/>
      <c r="S58" s="93"/>
      <c r="T58" s="28">
        <v>1.5</v>
      </c>
      <c r="U58" s="28"/>
      <c r="V58" s="204"/>
      <c r="W58" s="204"/>
      <c r="X58" s="28"/>
      <c r="Y58" s="28"/>
      <c r="Z58" s="204"/>
      <c r="AA58" s="93"/>
      <c r="AB58" s="93"/>
      <c r="AC58" s="28"/>
      <c r="AD58" s="28"/>
      <c r="AE58" s="204"/>
      <c r="AF58" s="204"/>
      <c r="AG58" s="28"/>
      <c r="AH58" s="28"/>
      <c r="AI58" s="93"/>
      <c r="AJ58" s="93"/>
      <c r="AK58" s="261"/>
      <c r="AL58" s="261"/>
      <c r="AM58" s="261"/>
      <c r="AN58" s="261"/>
      <c r="AO58" s="261"/>
      <c r="AP58" s="261"/>
      <c r="AQ58" s="261"/>
      <c r="AR58" s="261"/>
      <c r="AS58" s="261"/>
      <c r="AT58" s="261"/>
      <c r="AU58" s="261"/>
      <c r="AV58" s="261"/>
      <c r="AW58" s="261"/>
      <c r="AX58" s="261"/>
      <c r="AY58" s="261"/>
      <c r="AZ58" s="39"/>
      <c r="BA58" s="261"/>
      <c r="BB58" s="263"/>
      <c r="BC58" s="59"/>
      <c r="BD58" s="72"/>
    </row>
    <row r="59" spans="1:56" ht="15" customHeight="1">
      <c r="A59" s="453"/>
      <c r="B59" s="506"/>
      <c r="C59" s="427"/>
      <c r="D59" s="5">
        <f t="shared" si="2"/>
        <v>1</v>
      </c>
      <c r="E59" s="5">
        <v>0</v>
      </c>
      <c r="F59" s="10" t="s">
        <v>39</v>
      </c>
      <c r="G59" s="24">
        <v>3</v>
      </c>
      <c r="H59" s="24">
        <f t="shared" si="3"/>
        <v>0</v>
      </c>
      <c r="I59" s="5" t="s">
        <v>34</v>
      </c>
      <c r="J59" s="24" t="s">
        <v>35</v>
      </c>
      <c r="K59" s="28"/>
      <c r="L59" s="28"/>
      <c r="M59" s="28"/>
      <c r="N59" s="202"/>
      <c r="O59" s="202"/>
      <c r="P59" s="28"/>
      <c r="Q59" s="28"/>
      <c r="R59" s="93"/>
      <c r="S59" s="93"/>
      <c r="T59" s="28"/>
      <c r="U59" s="28"/>
      <c r="V59" s="204">
        <v>3</v>
      </c>
      <c r="W59" s="204"/>
      <c r="X59" s="28"/>
      <c r="Y59" s="28"/>
      <c r="Z59" s="204"/>
      <c r="AA59" s="93"/>
      <c r="AB59" s="93"/>
      <c r="AC59" s="28"/>
      <c r="AD59" s="28"/>
      <c r="AE59" s="204"/>
      <c r="AF59" s="204"/>
      <c r="AG59" s="28"/>
      <c r="AH59" s="28"/>
      <c r="AI59" s="93"/>
      <c r="AJ59" s="93"/>
      <c r="AK59" s="261"/>
      <c r="AL59" s="261"/>
      <c r="AM59" s="261"/>
      <c r="AN59" s="261"/>
      <c r="AO59" s="261"/>
      <c r="AP59" s="261"/>
      <c r="AQ59" s="261"/>
      <c r="AR59" s="261"/>
      <c r="AS59" s="261"/>
      <c r="AT59" s="261"/>
      <c r="AU59" s="261"/>
      <c r="AV59" s="261"/>
      <c r="AW59" s="261"/>
      <c r="AX59" s="261"/>
      <c r="AY59" s="261"/>
      <c r="AZ59" s="39"/>
      <c r="BA59" s="261"/>
      <c r="BB59" s="263"/>
      <c r="BC59" s="59"/>
      <c r="BD59" s="72"/>
    </row>
    <row r="60" spans="1:56" ht="15" customHeight="1" thickBot="1">
      <c r="A60" s="454"/>
      <c r="B60" s="507"/>
      <c r="C60" s="428"/>
      <c r="D60" s="18">
        <f t="shared" si="2"/>
        <v>1</v>
      </c>
      <c r="E60" s="18">
        <v>1</v>
      </c>
      <c r="F60" s="16" t="s">
        <v>39</v>
      </c>
      <c r="G60" s="26">
        <v>3</v>
      </c>
      <c r="H60" s="26">
        <f t="shared" si="3"/>
        <v>0</v>
      </c>
      <c r="I60" s="18" t="s">
        <v>34</v>
      </c>
      <c r="J60" s="26" t="s">
        <v>37</v>
      </c>
      <c r="K60" s="29"/>
      <c r="L60" s="29"/>
      <c r="M60" s="29"/>
      <c r="N60" s="201"/>
      <c r="O60" s="201"/>
      <c r="P60" s="29"/>
      <c r="Q60" s="29"/>
      <c r="R60" s="94"/>
      <c r="S60" s="94"/>
      <c r="T60" s="29"/>
      <c r="U60" s="29">
        <v>3</v>
      </c>
      <c r="V60" s="205"/>
      <c r="W60" s="205"/>
      <c r="X60" s="29"/>
      <c r="Y60" s="29"/>
      <c r="Z60" s="205"/>
      <c r="AA60" s="94"/>
      <c r="AB60" s="94"/>
      <c r="AC60" s="29"/>
      <c r="AD60" s="29"/>
      <c r="AE60" s="205"/>
      <c r="AF60" s="205"/>
      <c r="AG60" s="29"/>
      <c r="AH60" s="29"/>
      <c r="AI60" s="94"/>
      <c r="AJ60" s="94"/>
      <c r="AK60" s="205"/>
      <c r="AL60" s="205"/>
      <c r="AM60" s="205"/>
      <c r="AN60" s="205"/>
      <c r="AO60" s="29"/>
      <c r="AP60" s="205"/>
      <c r="AQ60" s="94"/>
      <c r="AR60" s="94"/>
      <c r="AS60" s="205"/>
      <c r="AT60" s="205"/>
      <c r="AU60" s="205"/>
      <c r="AV60" s="205"/>
      <c r="AW60" s="205"/>
      <c r="AX60" s="205"/>
      <c r="AY60" s="205"/>
      <c r="AZ60" s="40"/>
      <c r="BA60" s="205"/>
      <c r="BB60" s="207"/>
      <c r="BC60" s="73"/>
      <c r="BD60" s="74"/>
    </row>
    <row r="61" spans="1:56" ht="15" customHeight="1" thickTop="1">
      <c r="A61" s="452" t="s">
        <v>274</v>
      </c>
      <c r="B61" s="505" t="s">
        <v>275</v>
      </c>
      <c r="C61" s="426" t="s">
        <v>273</v>
      </c>
      <c r="D61" s="17">
        <f t="shared" si="2"/>
        <v>2</v>
      </c>
      <c r="E61" s="17">
        <v>2</v>
      </c>
      <c r="F61" s="23" t="s">
        <v>33</v>
      </c>
      <c r="G61" s="23">
        <v>4</v>
      </c>
      <c r="H61" s="23">
        <f t="shared" si="3"/>
        <v>0</v>
      </c>
      <c r="I61" s="17" t="s">
        <v>34</v>
      </c>
      <c r="J61" s="495" t="s">
        <v>74</v>
      </c>
      <c r="K61" s="27"/>
      <c r="L61" s="27"/>
      <c r="M61" s="27"/>
      <c r="N61" s="200"/>
      <c r="O61" s="200"/>
      <c r="P61" s="27"/>
      <c r="Q61" s="27"/>
      <c r="R61" s="92"/>
      <c r="S61" s="92"/>
      <c r="T61" s="27"/>
      <c r="U61" s="27"/>
      <c r="V61" s="203"/>
      <c r="W61" s="203"/>
      <c r="X61" s="27"/>
      <c r="Y61" s="27"/>
      <c r="Z61" s="203"/>
      <c r="AA61" s="92"/>
      <c r="AB61" s="92"/>
      <c r="AC61" s="27"/>
      <c r="AD61" s="27"/>
      <c r="AE61" s="203"/>
      <c r="AF61" s="203"/>
      <c r="AG61" s="27">
        <v>2</v>
      </c>
      <c r="AH61" s="27">
        <v>2</v>
      </c>
      <c r="AI61" s="92"/>
      <c r="AJ61" s="92"/>
      <c r="AK61" s="260"/>
      <c r="AL61" s="260"/>
      <c r="AM61" s="260"/>
      <c r="AN61" s="260"/>
      <c r="AO61" s="260"/>
      <c r="AP61" s="260"/>
      <c r="AQ61" s="260"/>
      <c r="AR61" s="260"/>
      <c r="AS61" s="260"/>
      <c r="AT61" s="260"/>
      <c r="AU61" s="260"/>
      <c r="AV61" s="260"/>
      <c r="AW61" s="260"/>
      <c r="AX61" s="260"/>
      <c r="AY61" s="260"/>
      <c r="AZ61" s="38"/>
      <c r="BA61" s="260"/>
      <c r="BB61" s="264"/>
      <c r="BC61" s="70"/>
      <c r="BD61" s="71"/>
    </row>
    <row r="62" spans="1:56" ht="15" customHeight="1" thickBot="1">
      <c r="A62" s="454"/>
      <c r="B62" s="507"/>
      <c r="C62" s="428"/>
      <c r="D62" s="18">
        <f t="shared" si="2"/>
        <v>2</v>
      </c>
      <c r="E62" s="18">
        <v>2</v>
      </c>
      <c r="F62" s="16" t="s">
        <v>36</v>
      </c>
      <c r="G62" s="26">
        <v>4</v>
      </c>
      <c r="H62" s="26">
        <f t="shared" si="3"/>
        <v>0</v>
      </c>
      <c r="I62" s="18" t="s">
        <v>34</v>
      </c>
      <c r="J62" s="504"/>
      <c r="K62" s="29"/>
      <c r="L62" s="29"/>
      <c r="M62" s="29"/>
      <c r="N62" s="201"/>
      <c r="O62" s="201"/>
      <c r="P62" s="29"/>
      <c r="Q62" s="29"/>
      <c r="R62" s="94"/>
      <c r="S62" s="94"/>
      <c r="T62" s="29"/>
      <c r="U62" s="29"/>
      <c r="V62" s="205"/>
      <c r="W62" s="205"/>
      <c r="X62" s="29"/>
      <c r="Y62" s="29"/>
      <c r="Z62" s="205"/>
      <c r="AA62" s="94"/>
      <c r="AB62" s="94"/>
      <c r="AC62" s="29"/>
      <c r="AD62" s="29"/>
      <c r="AE62" s="205"/>
      <c r="AF62" s="205"/>
      <c r="AG62" s="29">
        <v>2</v>
      </c>
      <c r="AH62" s="29">
        <v>2</v>
      </c>
      <c r="AI62" s="94"/>
      <c r="AJ62" s="94"/>
      <c r="AK62" s="262"/>
      <c r="AL62" s="262"/>
      <c r="AM62" s="262"/>
      <c r="AN62" s="262"/>
      <c r="AO62" s="262"/>
      <c r="AP62" s="262"/>
      <c r="AQ62" s="262"/>
      <c r="AR62" s="262"/>
      <c r="AS62" s="262"/>
      <c r="AT62" s="262"/>
      <c r="AU62" s="262"/>
      <c r="AV62" s="262"/>
      <c r="AW62" s="262"/>
      <c r="AX62" s="262"/>
      <c r="AY62" s="262"/>
      <c r="AZ62" s="40"/>
      <c r="BA62" s="262"/>
      <c r="BB62" s="265"/>
      <c r="BC62" s="73"/>
      <c r="BD62" s="74"/>
    </row>
    <row r="63" spans="1:56" ht="15" customHeight="1" thickTop="1">
      <c r="A63" s="452" t="s">
        <v>276</v>
      </c>
      <c r="B63" s="501" t="s">
        <v>277</v>
      </c>
      <c r="C63" s="401" t="s">
        <v>278</v>
      </c>
      <c r="D63" s="19">
        <f t="shared" si="2"/>
        <v>0</v>
      </c>
      <c r="E63" s="19">
        <v>2</v>
      </c>
      <c r="F63" s="23" t="s">
        <v>33</v>
      </c>
      <c r="G63" s="27">
        <v>0</v>
      </c>
      <c r="H63" s="27">
        <f t="shared" si="3"/>
        <v>0</v>
      </c>
      <c r="I63" s="19" t="s">
        <v>34</v>
      </c>
      <c r="J63" s="495" t="s">
        <v>74</v>
      </c>
      <c r="K63" s="27"/>
      <c r="L63" s="27"/>
      <c r="M63" s="27"/>
      <c r="N63" s="200"/>
      <c r="O63" s="200"/>
      <c r="P63" s="27"/>
      <c r="Q63" s="27"/>
      <c r="R63" s="92"/>
      <c r="S63" s="92"/>
      <c r="T63" s="27"/>
      <c r="U63" s="27"/>
      <c r="V63" s="203"/>
      <c r="W63" s="203"/>
      <c r="X63" s="27"/>
      <c r="Y63" s="27"/>
      <c r="Z63" s="203"/>
      <c r="AA63" s="92"/>
      <c r="AB63" s="92"/>
      <c r="AC63" s="27"/>
      <c r="AD63" s="27"/>
      <c r="AE63" s="203"/>
      <c r="AF63" s="203"/>
      <c r="AG63" s="27"/>
      <c r="AH63" s="27"/>
      <c r="AI63" s="92"/>
      <c r="AJ63" s="92"/>
      <c r="AK63" s="260"/>
      <c r="AL63" s="260"/>
      <c r="AM63" s="260"/>
      <c r="AN63" s="260"/>
      <c r="AO63" s="260"/>
      <c r="AP63" s="260"/>
      <c r="AQ63" s="260"/>
      <c r="AR63" s="260"/>
      <c r="AS63" s="260"/>
      <c r="AT63" s="260"/>
      <c r="AU63" s="260"/>
      <c r="AV63" s="260"/>
      <c r="AW63" s="260"/>
      <c r="AX63" s="260"/>
      <c r="AY63" s="260"/>
      <c r="AZ63" s="38"/>
      <c r="BA63" s="260"/>
      <c r="BB63" s="264"/>
      <c r="BC63" s="70"/>
      <c r="BD63" s="71"/>
    </row>
    <row r="64" spans="1:56" ht="15" customHeight="1">
      <c r="A64" s="453"/>
      <c r="B64" s="503"/>
      <c r="C64" s="416"/>
      <c r="D64" s="11">
        <f t="shared" si="2"/>
        <v>0</v>
      </c>
      <c r="E64" s="11">
        <v>2</v>
      </c>
      <c r="F64" s="10" t="s">
        <v>36</v>
      </c>
      <c r="G64" s="28">
        <v>0</v>
      </c>
      <c r="H64" s="28">
        <f t="shared" si="3"/>
        <v>0</v>
      </c>
      <c r="I64" s="11" t="s">
        <v>34</v>
      </c>
      <c r="J64" s="496"/>
      <c r="K64" s="28"/>
      <c r="L64" s="28"/>
      <c r="M64" s="28"/>
      <c r="N64" s="202"/>
      <c r="O64" s="202"/>
      <c r="P64" s="28"/>
      <c r="Q64" s="28"/>
      <c r="R64" s="93"/>
      <c r="S64" s="93"/>
      <c r="T64" s="28"/>
      <c r="U64" s="28"/>
      <c r="V64" s="204"/>
      <c r="W64" s="204"/>
      <c r="X64" s="28"/>
      <c r="Y64" s="28"/>
      <c r="Z64" s="204"/>
      <c r="AA64" s="93"/>
      <c r="AB64" s="93"/>
      <c r="AC64" s="28"/>
      <c r="AD64" s="28"/>
      <c r="AE64" s="204"/>
      <c r="AF64" s="204"/>
      <c r="AG64" s="28"/>
      <c r="AH64" s="28"/>
      <c r="AI64" s="93"/>
      <c r="AJ64" s="93"/>
      <c r="AK64" s="261"/>
      <c r="AL64" s="261"/>
      <c r="AM64" s="261"/>
      <c r="AN64" s="261"/>
      <c r="AO64" s="261"/>
      <c r="AP64" s="261"/>
      <c r="AQ64" s="261"/>
      <c r="AR64" s="261"/>
      <c r="AS64" s="261"/>
      <c r="AT64" s="261"/>
      <c r="AU64" s="261"/>
      <c r="AV64" s="261"/>
      <c r="AW64" s="261"/>
      <c r="AX64" s="261"/>
      <c r="AY64" s="261"/>
      <c r="AZ64" s="39"/>
      <c r="BA64" s="261"/>
      <c r="BB64" s="263"/>
      <c r="BC64" s="59"/>
      <c r="BD64" s="72"/>
    </row>
    <row r="65" spans="1:56">
      <c r="A65" s="453"/>
      <c r="B65" s="503"/>
      <c r="C65" s="416"/>
      <c r="D65" s="11">
        <f t="shared" si="2"/>
        <v>10</v>
      </c>
      <c r="E65" s="11">
        <v>0</v>
      </c>
      <c r="F65" s="10" t="s">
        <v>39</v>
      </c>
      <c r="G65" s="28">
        <v>15</v>
      </c>
      <c r="H65" s="28">
        <f t="shared" si="3"/>
        <v>0</v>
      </c>
      <c r="I65" s="11" t="s">
        <v>34</v>
      </c>
      <c r="J65" s="24" t="s">
        <v>35</v>
      </c>
      <c r="K65" s="59">
        <v>1.5</v>
      </c>
      <c r="L65" s="59">
        <v>1.5</v>
      </c>
      <c r="M65" s="59">
        <v>1.5</v>
      </c>
      <c r="N65" s="274">
        <v>1.5</v>
      </c>
      <c r="O65" s="274">
        <v>1.5</v>
      </c>
      <c r="P65" s="59">
        <v>1.5</v>
      </c>
      <c r="Q65" s="59">
        <v>1.5</v>
      </c>
      <c r="R65" s="190"/>
      <c r="S65" s="190"/>
      <c r="T65" s="59">
        <v>1.5</v>
      </c>
      <c r="U65" s="59">
        <v>1.5</v>
      </c>
      <c r="V65" s="206">
        <v>1.5</v>
      </c>
      <c r="W65" s="206"/>
      <c r="X65" s="59"/>
      <c r="Y65" s="59"/>
      <c r="Z65" s="206"/>
      <c r="AA65" s="190"/>
      <c r="AB65" s="190"/>
      <c r="AC65" s="59"/>
      <c r="AD65" s="59"/>
      <c r="AE65" s="206"/>
      <c r="AF65" s="206"/>
      <c r="AG65" s="59"/>
      <c r="AH65" s="59"/>
      <c r="AI65" s="190"/>
      <c r="AJ65" s="190"/>
      <c r="AK65" s="263"/>
      <c r="AL65" s="263"/>
      <c r="AM65" s="263"/>
      <c r="AN65" s="263"/>
      <c r="AO65" s="263"/>
      <c r="AP65" s="263"/>
      <c r="AQ65" s="263"/>
      <c r="AR65" s="263"/>
      <c r="AS65" s="263"/>
      <c r="AT65" s="263"/>
      <c r="AU65" s="263"/>
      <c r="AV65" s="263"/>
      <c r="AW65" s="263"/>
      <c r="AX65" s="263"/>
      <c r="AY65" s="263"/>
      <c r="AZ65" s="266"/>
      <c r="BA65" s="263"/>
      <c r="BB65" s="263"/>
      <c r="BC65" s="59"/>
      <c r="BD65" s="72"/>
    </row>
    <row r="66" spans="1:56" ht="15.75" thickBot="1">
      <c r="A66" s="454"/>
      <c r="B66" s="502"/>
      <c r="C66" s="402"/>
      <c r="D66" s="20">
        <f t="shared" si="2"/>
        <v>10</v>
      </c>
      <c r="E66" s="20">
        <v>1</v>
      </c>
      <c r="F66" s="16" t="s">
        <v>39</v>
      </c>
      <c r="G66" s="29">
        <v>15</v>
      </c>
      <c r="H66" s="29">
        <f t="shared" si="3"/>
        <v>0</v>
      </c>
      <c r="I66" s="20" t="s">
        <v>34</v>
      </c>
      <c r="J66" s="26" t="s">
        <v>37</v>
      </c>
      <c r="K66" s="73">
        <v>1.5</v>
      </c>
      <c r="L66" s="2">
        <v>1.5</v>
      </c>
      <c r="M66" s="73">
        <v>1.5</v>
      </c>
      <c r="N66" s="272"/>
      <c r="O66" s="272"/>
      <c r="P66" s="73">
        <v>1.5</v>
      </c>
      <c r="Q66" s="73">
        <v>1.5</v>
      </c>
      <c r="R66" s="191"/>
      <c r="S66" s="191"/>
      <c r="T66" s="73">
        <v>1.5</v>
      </c>
      <c r="U66" s="73">
        <v>1.5</v>
      </c>
      <c r="V66" s="207"/>
      <c r="W66" s="207"/>
      <c r="X66" s="73">
        <v>1.5</v>
      </c>
      <c r="Y66" s="73">
        <v>1.5</v>
      </c>
      <c r="Z66" s="207"/>
      <c r="AA66" s="191"/>
      <c r="AB66" s="191"/>
      <c r="AC66" s="73">
        <v>1.5</v>
      </c>
      <c r="AD66" s="73"/>
      <c r="AE66" s="207"/>
      <c r="AF66" s="207"/>
      <c r="AG66" s="73"/>
      <c r="AH66" s="73"/>
      <c r="AI66" s="191"/>
      <c r="AJ66" s="191"/>
      <c r="AK66" s="207"/>
      <c r="AL66" s="207"/>
      <c r="AM66" s="207"/>
      <c r="AN66" s="207"/>
      <c r="AO66" s="73"/>
      <c r="AP66" s="207"/>
      <c r="AQ66" s="191"/>
      <c r="AR66" s="191"/>
      <c r="AS66" s="207"/>
      <c r="AT66" s="207"/>
      <c r="AU66" s="207"/>
      <c r="AV66" s="207"/>
      <c r="AW66" s="207"/>
      <c r="AX66" s="207"/>
      <c r="AY66" s="207"/>
      <c r="AZ66" s="267"/>
      <c r="BA66" s="207"/>
      <c r="BB66" s="207"/>
      <c r="BC66" s="73"/>
      <c r="BD66" s="74"/>
    </row>
    <row r="67" spans="1:56" ht="15.75" thickTop="1">
      <c r="A67" s="452" t="s">
        <v>279</v>
      </c>
      <c r="B67" s="505" t="s">
        <v>280</v>
      </c>
      <c r="C67" s="426" t="s">
        <v>278</v>
      </c>
      <c r="D67" s="17">
        <f t="shared" si="2"/>
        <v>0</v>
      </c>
      <c r="E67" s="17">
        <v>2</v>
      </c>
      <c r="F67" s="23" t="s">
        <v>36</v>
      </c>
      <c r="G67" s="23">
        <v>0</v>
      </c>
      <c r="H67" s="23">
        <f t="shared" si="3"/>
        <v>0</v>
      </c>
      <c r="I67" s="17" t="s">
        <v>34</v>
      </c>
      <c r="J67" s="23" t="s">
        <v>74</v>
      </c>
      <c r="K67" s="70"/>
      <c r="L67" s="70"/>
      <c r="M67" s="70"/>
      <c r="N67" s="273"/>
      <c r="O67" s="273"/>
      <c r="P67" s="70"/>
      <c r="Q67" s="70"/>
      <c r="R67" s="192"/>
      <c r="S67" s="192"/>
      <c r="T67" s="70"/>
      <c r="U67" s="70"/>
      <c r="V67" s="208"/>
      <c r="W67" s="208"/>
      <c r="X67" s="70"/>
      <c r="Y67" s="70"/>
      <c r="Z67" s="208"/>
      <c r="AA67" s="192"/>
      <c r="AB67" s="192"/>
      <c r="AC67" s="70"/>
      <c r="AD67" s="70"/>
      <c r="AE67" s="208"/>
      <c r="AF67" s="208"/>
      <c r="AG67" s="70"/>
      <c r="AH67" s="70"/>
      <c r="AI67" s="192"/>
      <c r="AJ67" s="192"/>
      <c r="AK67" s="264"/>
      <c r="AL67" s="264"/>
      <c r="AM67" s="264"/>
      <c r="AN67" s="264"/>
      <c r="AO67" s="264"/>
      <c r="AP67" s="264"/>
      <c r="AQ67" s="264"/>
      <c r="AR67" s="264"/>
      <c r="AS67" s="264"/>
      <c r="AT67" s="264"/>
      <c r="AU67" s="264"/>
      <c r="AV67" s="264"/>
      <c r="AW67" s="264"/>
      <c r="AX67" s="264"/>
      <c r="AY67" s="264"/>
      <c r="AZ67" s="268"/>
      <c r="BA67" s="264"/>
      <c r="BB67" s="264"/>
      <c r="BC67" s="70"/>
      <c r="BD67" s="71"/>
    </row>
    <row r="68" spans="1:56">
      <c r="A68" s="453"/>
      <c r="B68" s="506"/>
      <c r="C68" s="427"/>
      <c r="D68" s="5">
        <f t="shared" si="2"/>
        <v>6</v>
      </c>
      <c r="E68" s="5">
        <v>0</v>
      </c>
      <c r="F68" s="10" t="s">
        <v>39</v>
      </c>
      <c r="G68" s="24">
        <v>12</v>
      </c>
      <c r="H68" s="24">
        <f t="shared" si="3"/>
        <v>0</v>
      </c>
      <c r="I68" s="5" t="s">
        <v>34</v>
      </c>
      <c r="J68" s="24" t="s">
        <v>35</v>
      </c>
      <c r="K68" s="59"/>
      <c r="L68" s="59"/>
      <c r="M68" s="59"/>
      <c r="N68" s="274"/>
      <c r="O68" s="274"/>
      <c r="P68" s="59"/>
      <c r="Q68" s="59"/>
      <c r="R68" s="190"/>
      <c r="S68" s="190"/>
      <c r="T68" s="59"/>
      <c r="U68" s="59"/>
      <c r="V68" s="206"/>
      <c r="W68" s="206"/>
      <c r="X68" s="59"/>
      <c r="Y68" s="59"/>
      <c r="Z68" s="206"/>
      <c r="AA68" s="190"/>
      <c r="AB68" s="190"/>
      <c r="AC68" s="59">
        <v>1.5</v>
      </c>
      <c r="AD68" s="59">
        <v>1.5</v>
      </c>
      <c r="AE68" s="206">
        <v>3</v>
      </c>
      <c r="AF68" s="206">
        <v>3</v>
      </c>
      <c r="AG68" s="59">
        <v>1.5</v>
      </c>
      <c r="AH68" s="59">
        <v>1.5</v>
      </c>
      <c r="AI68" s="190"/>
      <c r="AJ68" s="190"/>
      <c r="AK68" s="263"/>
      <c r="AL68" s="263"/>
      <c r="AM68" s="263"/>
      <c r="AN68" s="263"/>
      <c r="AO68" s="263"/>
      <c r="AP68" s="263"/>
      <c r="AQ68" s="263"/>
      <c r="AR68" s="263"/>
      <c r="AS68" s="263"/>
      <c r="AT68" s="263"/>
      <c r="AU68" s="263"/>
      <c r="AV68" s="263"/>
      <c r="AW68" s="263"/>
      <c r="AX68" s="263"/>
      <c r="AY68" s="263"/>
      <c r="AZ68" s="266"/>
      <c r="BA68" s="263"/>
      <c r="BB68" s="263"/>
      <c r="BC68" s="59"/>
      <c r="BD68" s="72"/>
    </row>
    <row r="69" spans="1:56" ht="15.75" thickBot="1">
      <c r="A69" s="454"/>
      <c r="B69" s="507"/>
      <c r="C69" s="428"/>
      <c r="D69" s="18">
        <f t="shared" si="2"/>
        <v>4</v>
      </c>
      <c r="E69" s="18">
        <v>1</v>
      </c>
      <c r="F69" s="16" t="s">
        <v>39</v>
      </c>
      <c r="G69" s="26">
        <v>12</v>
      </c>
      <c r="H69" s="26">
        <f t="shared" si="3"/>
        <v>0</v>
      </c>
      <c r="I69" s="18" t="s">
        <v>34</v>
      </c>
      <c r="J69" s="26" t="s">
        <v>37</v>
      </c>
      <c r="K69" s="73"/>
      <c r="L69" s="73"/>
      <c r="M69" s="73"/>
      <c r="N69" s="272"/>
      <c r="O69" s="272"/>
      <c r="P69" s="73"/>
      <c r="Q69" s="73"/>
      <c r="R69" s="191"/>
      <c r="S69" s="191"/>
      <c r="T69" s="73"/>
      <c r="U69" s="73"/>
      <c r="V69" s="207"/>
      <c r="W69" s="207"/>
      <c r="X69" s="73"/>
      <c r="Y69" s="73"/>
      <c r="Z69" s="207"/>
      <c r="AA69" s="191"/>
      <c r="AB69" s="191"/>
      <c r="AC69" s="73">
        <v>3</v>
      </c>
      <c r="AD69" s="73">
        <v>3</v>
      </c>
      <c r="AE69" s="207"/>
      <c r="AF69" s="207"/>
      <c r="AG69" s="73">
        <v>3</v>
      </c>
      <c r="AH69" s="73">
        <v>3</v>
      </c>
      <c r="AI69" s="191"/>
      <c r="AJ69" s="191"/>
      <c r="AK69" s="207"/>
      <c r="AL69" s="207"/>
      <c r="AM69" s="207"/>
      <c r="AN69" s="207"/>
      <c r="AO69" s="73"/>
      <c r="AP69" s="207"/>
      <c r="AQ69" s="191"/>
      <c r="AR69" s="191"/>
      <c r="AS69" s="207"/>
      <c r="AT69" s="207"/>
      <c r="AU69" s="207"/>
      <c r="AV69" s="207"/>
      <c r="AW69" s="207"/>
      <c r="AX69" s="207"/>
      <c r="AY69" s="207"/>
      <c r="AZ69" s="267"/>
      <c r="BA69" s="207"/>
      <c r="BB69" s="207"/>
      <c r="BC69" s="73"/>
      <c r="BD69" s="74"/>
    </row>
    <row r="70" spans="1:56" ht="15.75" thickTop="1">
      <c r="A70" s="399" t="s">
        <v>281</v>
      </c>
      <c r="B70" s="501" t="s">
        <v>282</v>
      </c>
      <c r="C70" s="401" t="s">
        <v>283</v>
      </c>
      <c r="D70" s="19">
        <f t="shared" si="2"/>
        <v>0</v>
      </c>
      <c r="E70" s="19">
        <v>2</v>
      </c>
      <c r="F70" s="15" t="s">
        <v>33</v>
      </c>
      <c r="G70" s="27">
        <v>0</v>
      </c>
      <c r="H70" s="27">
        <f t="shared" si="3"/>
        <v>0</v>
      </c>
      <c r="I70" s="19" t="s">
        <v>34</v>
      </c>
      <c r="J70" s="495" t="s">
        <v>74</v>
      </c>
      <c r="K70" s="70"/>
      <c r="L70" s="70"/>
      <c r="M70" s="70"/>
      <c r="N70" s="273"/>
      <c r="O70" s="273"/>
      <c r="P70" s="70"/>
      <c r="Q70" s="70"/>
      <c r="R70" s="192"/>
      <c r="S70" s="192"/>
      <c r="T70" s="70"/>
      <c r="U70" s="70"/>
      <c r="V70" s="208"/>
      <c r="W70" s="208"/>
      <c r="X70" s="70"/>
      <c r="Y70" s="70"/>
      <c r="Z70" s="208"/>
      <c r="AA70" s="192"/>
      <c r="AB70" s="192"/>
      <c r="AC70" s="70"/>
      <c r="AD70" s="70"/>
      <c r="AE70" s="208"/>
      <c r="AF70" s="208"/>
      <c r="AG70" s="70"/>
      <c r="AH70" s="70"/>
      <c r="AI70" s="192"/>
      <c r="AJ70" s="192"/>
      <c r="AK70" s="264"/>
      <c r="AL70" s="264"/>
      <c r="AM70" s="264"/>
      <c r="AN70" s="264"/>
      <c r="AO70" s="264"/>
      <c r="AP70" s="264"/>
      <c r="AQ70" s="264"/>
      <c r="AR70" s="264"/>
      <c r="AS70" s="264"/>
      <c r="AT70" s="264"/>
      <c r="AU70" s="264"/>
      <c r="AV70" s="264"/>
      <c r="AW70" s="264"/>
      <c r="AX70" s="264"/>
      <c r="AY70" s="264"/>
      <c r="AZ70" s="268"/>
      <c r="BA70" s="264"/>
      <c r="BB70" s="264"/>
      <c r="BC70" s="70"/>
      <c r="BD70" s="71"/>
    </row>
    <row r="71" spans="1:56" ht="15.75" thickBot="1">
      <c r="A71" s="400"/>
      <c r="B71" s="502"/>
      <c r="C71" s="402"/>
      <c r="D71" s="20">
        <f t="shared" ref="D71:D88" si="4">COUNT(K71:BA71)</f>
        <v>6</v>
      </c>
      <c r="E71" s="20">
        <v>2</v>
      </c>
      <c r="F71" s="16" t="s">
        <v>36</v>
      </c>
      <c r="G71" s="29">
        <v>9</v>
      </c>
      <c r="H71" s="29">
        <f t="shared" ref="H71:H86" si="5">G71-SUM(K71:BB71)</f>
        <v>0</v>
      </c>
      <c r="I71" s="20" t="s">
        <v>34</v>
      </c>
      <c r="J71" s="504"/>
      <c r="K71" s="73"/>
      <c r="L71" s="73">
        <v>1.5</v>
      </c>
      <c r="M71" s="73">
        <v>1.5</v>
      </c>
      <c r="N71" s="272"/>
      <c r="O71" s="272"/>
      <c r="P71" s="73">
        <v>1.5</v>
      </c>
      <c r="Q71" s="73">
        <v>1.5</v>
      </c>
      <c r="R71" s="191"/>
      <c r="S71" s="191"/>
      <c r="T71" s="73">
        <v>1.5</v>
      </c>
      <c r="U71" s="73">
        <v>1.5</v>
      </c>
      <c r="V71" s="207"/>
      <c r="W71" s="207"/>
      <c r="X71" s="73"/>
      <c r="Y71" s="73"/>
      <c r="Z71" s="207"/>
      <c r="AA71" s="191"/>
      <c r="AB71" s="191"/>
      <c r="AC71" s="73"/>
      <c r="AD71" s="73"/>
      <c r="AE71" s="207"/>
      <c r="AF71" s="207"/>
      <c r="AG71" s="73"/>
      <c r="AH71" s="73"/>
      <c r="AI71" s="191"/>
      <c r="AJ71" s="191"/>
      <c r="AK71" s="265"/>
      <c r="AL71" s="265"/>
      <c r="AM71" s="265"/>
      <c r="AN71" s="265"/>
      <c r="AO71" s="265"/>
      <c r="AP71" s="265"/>
      <c r="AQ71" s="265"/>
      <c r="AR71" s="265"/>
      <c r="AS71" s="265"/>
      <c r="AT71" s="265"/>
      <c r="AU71" s="265"/>
      <c r="AV71" s="265"/>
      <c r="AW71" s="265"/>
      <c r="AX71" s="265"/>
      <c r="AY71" s="265"/>
      <c r="AZ71" s="267"/>
      <c r="BA71" s="265"/>
      <c r="BB71" s="265"/>
      <c r="BC71" s="73"/>
      <c r="BD71" s="74"/>
    </row>
    <row r="72" spans="1:56" ht="15.75" thickTop="1">
      <c r="A72" s="399" t="s">
        <v>284</v>
      </c>
      <c r="B72" s="511" t="s">
        <v>285</v>
      </c>
      <c r="C72" s="401" t="s">
        <v>45</v>
      </c>
      <c r="D72" s="19">
        <f t="shared" si="4"/>
        <v>3</v>
      </c>
      <c r="E72" s="19">
        <v>2</v>
      </c>
      <c r="F72" s="23" t="s">
        <v>36</v>
      </c>
      <c r="G72" s="27">
        <v>6</v>
      </c>
      <c r="H72" s="27">
        <f t="shared" si="5"/>
        <v>0</v>
      </c>
      <c r="I72" s="19" t="s">
        <v>34</v>
      </c>
      <c r="J72" s="23" t="s">
        <v>74</v>
      </c>
      <c r="K72" s="70"/>
      <c r="L72" s="70"/>
      <c r="M72" s="70"/>
      <c r="N72" s="273"/>
      <c r="O72" s="273"/>
      <c r="P72" s="70"/>
      <c r="Q72" s="70"/>
      <c r="R72" s="192"/>
      <c r="S72" s="192"/>
      <c r="T72" s="70"/>
      <c r="U72" s="70"/>
      <c r="V72" s="208"/>
      <c r="W72" s="208"/>
      <c r="X72" s="70">
        <v>1.5</v>
      </c>
      <c r="Y72" s="70">
        <v>1.5</v>
      </c>
      <c r="Z72" s="208"/>
      <c r="AA72" s="192"/>
      <c r="AB72" s="192"/>
      <c r="AC72" s="70">
        <v>3</v>
      </c>
      <c r="AD72" s="70"/>
      <c r="AE72" s="208"/>
      <c r="AF72" s="208"/>
      <c r="AG72" s="70"/>
      <c r="AH72" s="70"/>
      <c r="AI72" s="192"/>
      <c r="AJ72" s="192"/>
      <c r="AK72" s="264"/>
      <c r="AL72" s="264"/>
      <c r="AM72" s="264"/>
      <c r="AN72" s="264"/>
      <c r="AO72" s="264"/>
      <c r="AP72" s="264"/>
      <c r="AQ72" s="264"/>
      <c r="AR72" s="264"/>
      <c r="AS72" s="264"/>
      <c r="AT72" s="264"/>
      <c r="AU72" s="264"/>
      <c r="AV72" s="264"/>
      <c r="AW72" s="264"/>
      <c r="AX72" s="264"/>
      <c r="AY72" s="264"/>
      <c r="AZ72" s="268"/>
      <c r="BA72" s="264"/>
      <c r="BB72" s="264"/>
      <c r="BC72" s="70"/>
      <c r="BD72" s="71"/>
    </row>
    <row r="73" spans="1:56">
      <c r="A73" s="464"/>
      <c r="B73" s="512"/>
      <c r="C73" s="416"/>
      <c r="D73" s="11">
        <f t="shared" si="4"/>
        <v>5</v>
      </c>
      <c r="E73" s="11">
        <v>0</v>
      </c>
      <c r="F73" s="10" t="s">
        <v>99</v>
      </c>
      <c r="G73" s="28">
        <v>15</v>
      </c>
      <c r="H73" s="28">
        <f t="shared" si="5"/>
        <v>0</v>
      </c>
      <c r="I73" s="11">
        <v>129</v>
      </c>
      <c r="J73" s="24" t="s">
        <v>35</v>
      </c>
      <c r="K73" s="59"/>
      <c r="L73" s="59"/>
      <c r="M73" s="59"/>
      <c r="N73" s="274"/>
      <c r="O73" s="274"/>
      <c r="P73" s="59"/>
      <c r="Q73" s="59"/>
      <c r="R73" s="190"/>
      <c r="S73" s="190"/>
      <c r="T73" s="59"/>
      <c r="U73" s="59"/>
      <c r="V73" s="206"/>
      <c r="W73" s="206"/>
      <c r="X73" s="59"/>
      <c r="Y73" s="59"/>
      <c r="Z73" s="206"/>
      <c r="AA73" s="190"/>
      <c r="AB73" s="190"/>
      <c r="AC73" s="59"/>
      <c r="AD73" s="59">
        <v>3</v>
      </c>
      <c r="AE73" s="206">
        <v>3</v>
      </c>
      <c r="AF73" s="206">
        <v>3</v>
      </c>
      <c r="AG73" s="59">
        <v>3</v>
      </c>
      <c r="AH73" s="59">
        <v>3</v>
      </c>
      <c r="AI73" s="190"/>
      <c r="AJ73" s="190"/>
      <c r="AK73" s="263"/>
      <c r="AL73" s="263"/>
      <c r="AM73" s="263"/>
      <c r="AN73" s="263"/>
      <c r="AO73" s="263"/>
      <c r="AP73" s="263"/>
      <c r="AQ73" s="263"/>
      <c r="AR73" s="263"/>
      <c r="AS73" s="263"/>
      <c r="AT73" s="263"/>
      <c r="AU73" s="263"/>
      <c r="AV73" s="263"/>
      <c r="AW73" s="263"/>
      <c r="AX73" s="263"/>
      <c r="AY73" s="263"/>
      <c r="AZ73" s="266"/>
      <c r="BA73" s="263"/>
      <c r="BB73" s="263"/>
      <c r="BC73" s="59"/>
      <c r="BD73" s="72"/>
    </row>
    <row r="74" spans="1:56">
      <c r="A74" s="464"/>
      <c r="B74" s="512"/>
      <c r="C74" s="416"/>
      <c r="D74" s="11">
        <f t="shared" si="4"/>
        <v>1</v>
      </c>
      <c r="E74" s="11">
        <v>1</v>
      </c>
      <c r="F74" s="10" t="s">
        <v>99</v>
      </c>
      <c r="G74" s="28">
        <v>15</v>
      </c>
      <c r="H74" s="28">
        <f t="shared" si="5"/>
        <v>0</v>
      </c>
      <c r="I74" s="11">
        <v>129</v>
      </c>
      <c r="J74" s="24" t="s">
        <v>37</v>
      </c>
      <c r="K74" s="59"/>
      <c r="L74" s="59"/>
      <c r="M74" s="59"/>
      <c r="N74" s="274"/>
      <c r="O74" s="274"/>
      <c r="P74" s="59"/>
      <c r="Q74" s="59"/>
      <c r="R74" s="190"/>
      <c r="S74" s="190"/>
      <c r="T74" s="59"/>
      <c r="U74" s="59"/>
      <c r="V74" s="206"/>
      <c r="W74" s="206"/>
      <c r="X74" s="59"/>
      <c r="Y74" s="59"/>
      <c r="Z74" s="206"/>
      <c r="AA74" s="190"/>
      <c r="AB74" s="190"/>
      <c r="AC74" s="59"/>
      <c r="AD74" s="59"/>
      <c r="AE74" s="206"/>
      <c r="AF74" s="206"/>
      <c r="AG74" s="59"/>
      <c r="AH74" s="59"/>
      <c r="AI74" s="190"/>
      <c r="AJ74" s="190"/>
      <c r="AK74" s="206"/>
      <c r="AL74" s="206"/>
      <c r="AM74" s="206"/>
      <c r="AN74" s="206"/>
      <c r="AO74" s="59">
        <v>15</v>
      </c>
      <c r="AP74" s="206"/>
      <c r="AQ74" s="190"/>
      <c r="AR74" s="190"/>
      <c r="AS74" s="206"/>
      <c r="AT74" s="206"/>
      <c r="AU74" s="206"/>
      <c r="AV74" s="206"/>
      <c r="AW74" s="206"/>
      <c r="AX74" s="206"/>
      <c r="AY74" s="206"/>
      <c r="AZ74" s="266"/>
      <c r="BA74" s="206"/>
      <c r="BB74" s="206"/>
      <c r="BC74" s="59"/>
      <c r="BD74" s="72"/>
    </row>
    <row r="75" spans="1:56" ht="15.75" thickBot="1">
      <c r="A75" s="400"/>
      <c r="B75" s="513"/>
      <c r="C75" s="402"/>
      <c r="D75" s="20">
        <f t="shared" si="4"/>
        <v>6</v>
      </c>
      <c r="E75" s="20">
        <v>2</v>
      </c>
      <c r="F75" s="16" t="s">
        <v>78</v>
      </c>
      <c r="G75" s="29">
        <v>37.5</v>
      </c>
      <c r="H75" s="29">
        <f t="shared" si="5"/>
        <v>0</v>
      </c>
      <c r="I75" s="20"/>
      <c r="J75" s="26" t="s">
        <v>74</v>
      </c>
      <c r="K75" s="73"/>
      <c r="L75" s="73"/>
      <c r="M75" s="73"/>
      <c r="N75" s="272"/>
      <c r="O75" s="272"/>
      <c r="P75" s="73"/>
      <c r="Q75" s="73"/>
      <c r="R75" s="191"/>
      <c r="S75" s="191"/>
      <c r="T75" s="73"/>
      <c r="U75" s="73"/>
      <c r="V75" s="207"/>
      <c r="W75" s="207"/>
      <c r="X75" s="73"/>
      <c r="Y75" s="73"/>
      <c r="Z75" s="207"/>
      <c r="AA75" s="191"/>
      <c r="AB75" s="191"/>
      <c r="AC75" s="73"/>
      <c r="AD75" s="73">
        <v>3</v>
      </c>
      <c r="AE75" s="207">
        <v>3</v>
      </c>
      <c r="AF75" s="207">
        <v>4.5</v>
      </c>
      <c r="AG75" s="73">
        <v>4.5</v>
      </c>
      <c r="AH75" s="73">
        <v>3</v>
      </c>
      <c r="AI75" s="191"/>
      <c r="AJ75" s="191"/>
      <c r="AK75" s="265"/>
      <c r="AL75" s="265"/>
      <c r="AM75" s="265"/>
      <c r="AN75" s="265"/>
      <c r="AO75" s="265">
        <v>19.5</v>
      </c>
      <c r="AP75" s="265"/>
      <c r="AQ75" s="265"/>
      <c r="AR75" s="265"/>
      <c r="AS75" s="265"/>
      <c r="AT75" s="265"/>
      <c r="AU75" s="265"/>
      <c r="AV75" s="265"/>
      <c r="AW75" s="265"/>
      <c r="AX75" s="265"/>
      <c r="AY75" s="265"/>
      <c r="AZ75" s="267"/>
      <c r="BA75" s="265"/>
      <c r="BB75" s="265"/>
      <c r="BC75" s="73"/>
      <c r="BD75" s="74"/>
    </row>
    <row r="76" spans="1:56" ht="15.75" thickTop="1">
      <c r="A76" s="399" t="s">
        <v>286</v>
      </c>
      <c r="B76" s="511" t="s">
        <v>287</v>
      </c>
      <c r="C76" s="401" t="s">
        <v>73</v>
      </c>
      <c r="D76" s="19">
        <f t="shared" si="4"/>
        <v>1</v>
      </c>
      <c r="E76" s="19">
        <v>2</v>
      </c>
      <c r="F76" s="15" t="s">
        <v>36</v>
      </c>
      <c r="G76" s="27">
        <v>6</v>
      </c>
      <c r="H76" s="27">
        <f t="shared" si="5"/>
        <v>4</v>
      </c>
      <c r="I76" s="19" t="s">
        <v>34</v>
      </c>
      <c r="J76" s="23" t="s">
        <v>74</v>
      </c>
      <c r="K76" s="70"/>
      <c r="L76" s="70"/>
      <c r="M76" s="70"/>
      <c r="N76" s="273"/>
      <c r="O76" s="273"/>
      <c r="P76" s="70"/>
      <c r="Q76" s="70"/>
      <c r="R76" s="192"/>
      <c r="S76" s="192"/>
      <c r="T76" s="70"/>
      <c r="U76" s="70"/>
      <c r="V76" s="208"/>
      <c r="W76" s="208"/>
      <c r="X76" s="70"/>
      <c r="Y76" s="70"/>
      <c r="Z76" s="208"/>
      <c r="AA76" s="192"/>
      <c r="AB76" s="192"/>
      <c r="AC76" s="70"/>
      <c r="AD76" s="70">
        <v>2</v>
      </c>
      <c r="AE76" s="208"/>
      <c r="AF76" s="208"/>
      <c r="AG76" s="70"/>
      <c r="AH76" s="70"/>
      <c r="AI76" s="192"/>
      <c r="AJ76" s="192"/>
      <c r="AK76" s="264"/>
      <c r="AL76" s="264"/>
      <c r="AM76" s="264"/>
      <c r="AN76" s="264"/>
      <c r="AO76" s="264"/>
      <c r="AP76" s="264"/>
      <c r="AQ76" s="264"/>
      <c r="AR76" s="264"/>
      <c r="AS76" s="264"/>
      <c r="AT76" s="264"/>
      <c r="AU76" s="264"/>
      <c r="AV76" s="264"/>
      <c r="AW76" s="264"/>
      <c r="AX76" s="264"/>
      <c r="AY76" s="264"/>
      <c r="AZ76" s="268"/>
      <c r="BA76" s="264"/>
      <c r="BB76" s="264"/>
      <c r="BC76" s="70"/>
      <c r="BD76" s="71"/>
    </row>
    <row r="77" spans="1:56">
      <c r="A77" s="464"/>
      <c r="B77" s="512"/>
      <c r="C77" s="416"/>
      <c r="D77" s="11">
        <f t="shared" si="4"/>
        <v>4</v>
      </c>
      <c r="E77" s="11">
        <v>0</v>
      </c>
      <c r="F77" s="10" t="s">
        <v>39</v>
      </c>
      <c r="G77" s="28">
        <v>15</v>
      </c>
      <c r="H77" s="28">
        <f t="shared" si="5"/>
        <v>0</v>
      </c>
      <c r="I77" s="11">
        <v>124</v>
      </c>
      <c r="J77" s="24" t="s">
        <v>35</v>
      </c>
      <c r="K77" s="59"/>
      <c r="L77" s="59"/>
      <c r="M77" s="59"/>
      <c r="N77" s="274"/>
      <c r="O77" s="274"/>
      <c r="P77" s="59"/>
      <c r="Q77" s="59"/>
      <c r="R77" s="190"/>
      <c r="S77" s="190"/>
      <c r="T77" s="59"/>
      <c r="U77" s="59"/>
      <c r="V77" s="206"/>
      <c r="W77" s="206"/>
      <c r="X77" s="59"/>
      <c r="Y77" s="59"/>
      <c r="Z77" s="206"/>
      <c r="AA77" s="190"/>
      <c r="AB77" s="190"/>
      <c r="AC77" s="59"/>
      <c r="AD77" s="59"/>
      <c r="AE77" s="206">
        <v>6</v>
      </c>
      <c r="AF77" s="206">
        <v>3</v>
      </c>
      <c r="AG77" s="59">
        <v>3</v>
      </c>
      <c r="AH77" s="59">
        <v>3</v>
      </c>
      <c r="AI77" s="190"/>
      <c r="AJ77" s="190"/>
      <c r="AK77" s="263"/>
      <c r="AL77" s="263"/>
      <c r="AM77" s="263"/>
      <c r="AN77" s="263"/>
      <c r="AO77" s="263"/>
      <c r="AP77" s="263"/>
      <c r="AQ77" s="263"/>
      <c r="AR77" s="263"/>
      <c r="AS77" s="263"/>
      <c r="AT77" s="263"/>
      <c r="AU77" s="263"/>
      <c r="AV77" s="263"/>
      <c r="AW77" s="263"/>
      <c r="AX77" s="263"/>
      <c r="AY77" s="263"/>
      <c r="AZ77" s="266"/>
      <c r="BA77" s="263"/>
      <c r="BB77" s="263"/>
      <c r="BC77" s="59"/>
      <c r="BD77" s="72"/>
    </row>
    <row r="78" spans="1:56">
      <c r="A78" s="464"/>
      <c r="B78" s="512"/>
      <c r="C78" s="416"/>
      <c r="D78" s="11">
        <f t="shared" si="4"/>
        <v>1</v>
      </c>
      <c r="E78" s="11">
        <v>1</v>
      </c>
      <c r="F78" s="10" t="s">
        <v>39</v>
      </c>
      <c r="G78" s="28">
        <v>15</v>
      </c>
      <c r="H78" s="28">
        <f t="shared" si="5"/>
        <v>0</v>
      </c>
      <c r="I78" s="11">
        <v>124</v>
      </c>
      <c r="J78" s="24" t="s">
        <v>37</v>
      </c>
      <c r="K78" s="59"/>
      <c r="L78" s="59"/>
      <c r="M78" s="59"/>
      <c r="N78" s="274"/>
      <c r="O78" s="274"/>
      <c r="P78" s="59"/>
      <c r="Q78" s="59"/>
      <c r="R78" s="190"/>
      <c r="S78" s="190"/>
      <c r="T78" s="59"/>
      <c r="U78" s="59"/>
      <c r="V78" s="206"/>
      <c r="W78" s="206"/>
      <c r="X78" s="59"/>
      <c r="Y78" s="59"/>
      <c r="Z78" s="206"/>
      <c r="AA78" s="190"/>
      <c r="AB78" s="190"/>
      <c r="AC78" s="59"/>
      <c r="AD78" s="59"/>
      <c r="AE78" s="206"/>
      <c r="AF78" s="206"/>
      <c r="AG78" s="59"/>
      <c r="AH78" s="59"/>
      <c r="AI78" s="190"/>
      <c r="AJ78" s="190"/>
      <c r="AK78" s="206"/>
      <c r="AL78" s="206"/>
      <c r="AM78" s="206"/>
      <c r="AN78" s="206"/>
      <c r="AO78" s="59"/>
      <c r="AP78" s="206"/>
      <c r="AQ78" s="190"/>
      <c r="AR78" s="190"/>
      <c r="AS78" s="206"/>
      <c r="AT78" s="206"/>
      <c r="AU78" s="206"/>
      <c r="AV78" s="206"/>
      <c r="AW78" s="206"/>
      <c r="AX78" s="206"/>
      <c r="AY78" s="206"/>
      <c r="AZ78" s="266">
        <v>15</v>
      </c>
      <c r="BA78" s="206"/>
      <c r="BB78" s="206"/>
      <c r="BC78" s="59"/>
      <c r="BD78" s="72"/>
    </row>
    <row r="79" spans="1:56" ht="15.75" thickBot="1">
      <c r="A79" s="400"/>
      <c r="B79" s="513"/>
      <c r="C79" s="402"/>
      <c r="D79" s="20">
        <f t="shared" si="4"/>
        <v>5</v>
      </c>
      <c r="E79" s="20">
        <v>2</v>
      </c>
      <c r="F79" s="16" t="s">
        <v>78</v>
      </c>
      <c r="G79" s="29">
        <v>37.5</v>
      </c>
      <c r="H79" s="29">
        <f t="shared" si="5"/>
        <v>0</v>
      </c>
      <c r="I79" s="20"/>
      <c r="J79" s="26" t="s">
        <v>74</v>
      </c>
      <c r="K79" s="73"/>
      <c r="L79" s="73"/>
      <c r="M79" s="73"/>
      <c r="N79" s="272"/>
      <c r="O79" s="272"/>
      <c r="P79" s="73"/>
      <c r="Q79" s="73"/>
      <c r="R79" s="191"/>
      <c r="S79" s="191"/>
      <c r="T79" s="73"/>
      <c r="U79" s="73"/>
      <c r="V79" s="207"/>
      <c r="W79" s="207"/>
      <c r="X79" s="73"/>
      <c r="Y79" s="73"/>
      <c r="Z79" s="207"/>
      <c r="AA79" s="191"/>
      <c r="AB79" s="191"/>
      <c r="AC79" s="73"/>
      <c r="AD79" s="73"/>
      <c r="AE79" s="207">
        <v>4.5</v>
      </c>
      <c r="AF79" s="207">
        <v>4.5</v>
      </c>
      <c r="AG79" s="73">
        <v>4.5</v>
      </c>
      <c r="AH79" s="73">
        <v>4.5</v>
      </c>
      <c r="AI79" s="191"/>
      <c r="AJ79" s="191"/>
      <c r="AK79" s="265"/>
      <c r="AL79" s="265"/>
      <c r="AM79" s="265"/>
      <c r="AN79" s="265"/>
      <c r="AO79" s="265"/>
      <c r="AP79" s="265"/>
      <c r="AQ79" s="265"/>
      <c r="AR79" s="265"/>
      <c r="AS79" s="265"/>
      <c r="AT79" s="265"/>
      <c r="AU79" s="265"/>
      <c r="AV79" s="265"/>
      <c r="AW79" s="265"/>
      <c r="AX79" s="265"/>
      <c r="AY79" s="265"/>
      <c r="AZ79" s="267">
        <v>19.5</v>
      </c>
      <c r="BA79" s="265"/>
      <c r="BB79" s="265"/>
      <c r="BC79" s="73"/>
      <c r="BD79" s="74"/>
    </row>
    <row r="80" spans="1:56" ht="15.75" thickTop="1">
      <c r="A80" s="399" t="s">
        <v>288</v>
      </c>
      <c r="B80" s="401" t="s">
        <v>92</v>
      </c>
      <c r="C80" s="31"/>
      <c r="D80" s="19">
        <f t="shared" si="4"/>
        <v>0</v>
      </c>
      <c r="E80" s="19"/>
      <c r="F80" s="15" t="s">
        <v>36</v>
      </c>
      <c r="G80" s="27">
        <v>10</v>
      </c>
      <c r="H80" s="27">
        <f t="shared" si="5"/>
        <v>10</v>
      </c>
      <c r="I80" s="19"/>
      <c r="J80" s="23" t="s">
        <v>35</v>
      </c>
      <c r="K80" s="70"/>
      <c r="L80" s="70"/>
      <c r="M80" s="70"/>
      <c r="N80" s="273"/>
      <c r="O80" s="273"/>
      <c r="P80" s="70"/>
      <c r="Q80" s="70"/>
      <c r="R80" s="192"/>
      <c r="S80" s="192"/>
      <c r="T80" s="70"/>
      <c r="U80" s="70"/>
      <c r="V80" s="208"/>
      <c r="W80" s="208"/>
      <c r="X80" s="70"/>
      <c r="Y80" s="70"/>
      <c r="Z80" s="208"/>
      <c r="AA80" s="192"/>
      <c r="AB80" s="192"/>
      <c r="AC80" s="70"/>
      <c r="AD80" s="70"/>
      <c r="AE80" s="208"/>
      <c r="AF80" s="208"/>
      <c r="AG80" s="70"/>
      <c r="AH80" s="70"/>
      <c r="AI80" s="192"/>
      <c r="AJ80" s="192"/>
      <c r="AK80" s="208"/>
      <c r="AL80" s="208"/>
      <c r="AM80" s="208"/>
      <c r="AN80" s="208"/>
      <c r="AO80" s="70"/>
      <c r="AP80" s="208"/>
      <c r="AQ80" s="192"/>
      <c r="AR80" s="192"/>
      <c r="AS80" s="70"/>
      <c r="AT80" s="70"/>
      <c r="AU80" s="70"/>
      <c r="AV80" s="70"/>
      <c r="AW80" s="70"/>
      <c r="AX80" s="70"/>
      <c r="AY80" s="70"/>
      <c r="AZ80" s="268"/>
      <c r="BA80" s="70"/>
      <c r="BB80" s="70"/>
      <c r="BC80" s="70"/>
      <c r="BD80" s="71"/>
    </row>
    <row r="81" spans="1:56" ht="15.75" thickBot="1">
      <c r="A81" s="400"/>
      <c r="B81" s="402"/>
      <c r="C81" s="32"/>
      <c r="D81" s="20">
        <f t="shared" si="4"/>
        <v>0</v>
      </c>
      <c r="E81" s="20"/>
      <c r="F81" s="16" t="s">
        <v>36</v>
      </c>
      <c r="G81" s="29">
        <v>10</v>
      </c>
      <c r="H81" s="29">
        <f t="shared" si="5"/>
        <v>10</v>
      </c>
      <c r="I81" s="20"/>
      <c r="J81" s="26" t="s">
        <v>37</v>
      </c>
      <c r="K81" s="73"/>
      <c r="L81" s="73"/>
      <c r="M81" s="73"/>
      <c r="N81" s="272"/>
      <c r="O81" s="272"/>
      <c r="P81" s="73"/>
      <c r="Q81" s="73"/>
      <c r="R81" s="191"/>
      <c r="S81" s="191"/>
      <c r="T81" s="73"/>
      <c r="U81" s="73"/>
      <c r="V81" s="207"/>
      <c r="W81" s="207"/>
      <c r="X81" s="73"/>
      <c r="Y81" s="73"/>
      <c r="Z81" s="207"/>
      <c r="AA81" s="191"/>
      <c r="AB81" s="191"/>
      <c r="AC81" s="73"/>
      <c r="AD81" s="73"/>
      <c r="AE81" s="207"/>
      <c r="AF81" s="207"/>
      <c r="AG81" s="73"/>
      <c r="AH81" s="73"/>
      <c r="AI81" s="191"/>
      <c r="AJ81" s="191"/>
      <c r="AK81" s="207"/>
      <c r="AL81" s="207"/>
      <c r="AM81" s="207"/>
      <c r="AN81" s="207"/>
      <c r="AO81" s="73"/>
      <c r="AP81" s="207"/>
      <c r="AQ81" s="191"/>
      <c r="AR81" s="191"/>
      <c r="AS81" s="207"/>
      <c r="AT81" s="207"/>
      <c r="AU81" s="207"/>
      <c r="AV81" s="207"/>
      <c r="AW81" s="207"/>
      <c r="AX81" s="207"/>
      <c r="AY81" s="207"/>
      <c r="AZ81" s="267"/>
      <c r="BA81" s="207"/>
      <c r="BB81" s="207"/>
      <c r="BC81" s="73"/>
      <c r="BD81" s="74"/>
    </row>
    <row r="82" spans="1:56" ht="15.75" thickTop="1">
      <c r="A82" s="399"/>
      <c r="B82" s="401" t="s">
        <v>197</v>
      </c>
      <c r="C82" s="31"/>
      <c r="D82" s="19">
        <f t="shared" si="4"/>
        <v>0</v>
      </c>
      <c r="E82" s="19"/>
      <c r="F82" s="23" t="s">
        <v>36</v>
      </c>
      <c r="G82" s="27">
        <v>10</v>
      </c>
      <c r="H82" s="27">
        <f t="shared" si="5"/>
        <v>10</v>
      </c>
      <c r="I82" s="19"/>
      <c r="J82" s="23" t="s">
        <v>35</v>
      </c>
      <c r="K82" s="70"/>
      <c r="L82" s="70"/>
      <c r="M82" s="70"/>
      <c r="N82" s="273"/>
      <c r="O82" s="273"/>
      <c r="P82" s="70"/>
      <c r="Q82" s="70"/>
      <c r="R82" s="192"/>
      <c r="S82" s="192"/>
      <c r="T82" s="70"/>
      <c r="U82" s="70"/>
      <c r="V82" s="208"/>
      <c r="W82" s="208"/>
      <c r="X82" s="70"/>
      <c r="Y82" s="70"/>
      <c r="Z82" s="208"/>
      <c r="AA82" s="192"/>
      <c r="AB82" s="192"/>
      <c r="AC82" s="70"/>
      <c r="AD82" s="70"/>
      <c r="AE82" s="208"/>
      <c r="AF82" s="208"/>
      <c r="AG82" s="70"/>
      <c r="AH82" s="70"/>
      <c r="AI82" s="192"/>
      <c r="AJ82" s="192"/>
      <c r="AK82" s="208"/>
      <c r="AL82" s="208"/>
      <c r="AM82" s="208"/>
      <c r="AN82" s="208"/>
      <c r="AO82" s="70"/>
      <c r="AP82" s="208"/>
      <c r="AQ82" s="192"/>
      <c r="AR82" s="192"/>
      <c r="AS82" s="70"/>
      <c r="AT82" s="70"/>
      <c r="AU82" s="70"/>
      <c r="AV82" s="70"/>
      <c r="AW82" s="70"/>
      <c r="AX82" s="70"/>
      <c r="AY82" s="70"/>
      <c r="AZ82" s="268"/>
      <c r="BA82" s="70"/>
      <c r="BB82" s="70"/>
      <c r="BC82" s="70"/>
      <c r="BD82" s="71"/>
    </row>
    <row r="83" spans="1:56" ht="15.75" thickBot="1">
      <c r="A83" s="497"/>
      <c r="B83" s="498"/>
      <c r="C83" s="188"/>
      <c r="D83" s="185">
        <f t="shared" si="4"/>
        <v>0</v>
      </c>
      <c r="E83" s="185"/>
      <c r="F83" s="12" t="s">
        <v>36</v>
      </c>
      <c r="G83" s="186">
        <v>10</v>
      </c>
      <c r="H83" s="186">
        <f t="shared" si="5"/>
        <v>10</v>
      </c>
      <c r="I83" s="185"/>
      <c r="J83" s="30" t="s">
        <v>37</v>
      </c>
      <c r="K83" s="67"/>
      <c r="L83" s="67"/>
      <c r="M83" s="67"/>
      <c r="N83" s="275"/>
      <c r="O83" s="275"/>
      <c r="P83" s="67"/>
      <c r="Q83" s="67"/>
      <c r="R83" s="193"/>
      <c r="S83" s="193"/>
      <c r="T83" s="67"/>
      <c r="U83" s="67"/>
      <c r="V83" s="209"/>
      <c r="W83" s="209"/>
      <c r="X83" s="67"/>
      <c r="Y83" s="67"/>
      <c r="Z83" s="209"/>
      <c r="AA83" s="193"/>
      <c r="AB83" s="193"/>
      <c r="AC83" s="67"/>
      <c r="AD83" s="67"/>
      <c r="AE83" s="209"/>
      <c r="AF83" s="209"/>
      <c r="AG83" s="67"/>
      <c r="AH83" s="67"/>
      <c r="AI83" s="193"/>
      <c r="AJ83" s="193"/>
      <c r="AK83" s="209"/>
      <c r="AL83" s="209"/>
      <c r="AM83" s="209"/>
      <c r="AN83" s="209"/>
      <c r="AO83" s="67"/>
      <c r="AP83" s="209"/>
      <c r="AQ83" s="193"/>
      <c r="AR83" s="193"/>
      <c r="AS83" s="209"/>
      <c r="AT83" s="209"/>
      <c r="AU83" s="209"/>
      <c r="AV83" s="209"/>
      <c r="AW83" s="209"/>
      <c r="AX83" s="209"/>
      <c r="AY83" s="209"/>
      <c r="AZ83" s="269"/>
      <c r="BA83" s="209"/>
      <c r="BB83" s="209"/>
      <c r="BC83" s="67"/>
      <c r="BD83" s="187"/>
    </row>
    <row r="84" spans="1:56" ht="15.75" thickTop="1">
      <c r="A84" s="399" t="s">
        <v>289</v>
      </c>
      <c r="B84" s="401" t="s">
        <v>225</v>
      </c>
      <c r="C84" s="401" t="s">
        <v>45</v>
      </c>
      <c r="D84" s="19">
        <f t="shared" si="4"/>
        <v>1</v>
      </c>
      <c r="E84" s="19">
        <v>2</v>
      </c>
      <c r="F84" s="23" t="s">
        <v>36</v>
      </c>
      <c r="G84" s="27">
        <v>2</v>
      </c>
      <c r="H84" s="27">
        <f t="shared" si="5"/>
        <v>1</v>
      </c>
      <c r="I84" s="19"/>
      <c r="J84" s="23" t="s">
        <v>74</v>
      </c>
      <c r="K84" s="70"/>
      <c r="L84" s="70"/>
      <c r="M84" s="70"/>
      <c r="N84" s="273"/>
      <c r="O84" s="273"/>
      <c r="P84" s="70">
        <v>1</v>
      </c>
      <c r="Q84" s="70"/>
      <c r="R84" s="192"/>
      <c r="S84" s="192"/>
      <c r="T84" s="70"/>
      <c r="U84" s="70"/>
      <c r="V84" s="208"/>
      <c r="W84" s="208"/>
      <c r="X84" s="70"/>
      <c r="Y84" s="70"/>
      <c r="Z84" s="208"/>
      <c r="AA84" s="192"/>
      <c r="AB84" s="192"/>
      <c r="AC84" s="70"/>
      <c r="AD84" s="70"/>
      <c r="AE84" s="208"/>
      <c r="AF84" s="208"/>
      <c r="AG84" s="70"/>
      <c r="AH84" s="70"/>
      <c r="AI84" s="192"/>
      <c r="AJ84" s="192"/>
      <c r="AK84" s="208"/>
      <c r="AL84" s="208"/>
      <c r="AM84" s="208"/>
      <c r="AN84" s="208"/>
      <c r="AO84" s="70"/>
      <c r="AP84" s="208"/>
      <c r="AQ84" s="192"/>
      <c r="AR84" s="192"/>
      <c r="AS84" s="208"/>
      <c r="AT84" s="208"/>
      <c r="AU84" s="208"/>
      <c r="AV84" s="208"/>
      <c r="AW84" s="208"/>
      <c r="AX84" s="208"/>
      <c r="AY84" s="208"/>
      <c r="AZ84" s="268"/>
      <c r="BA84" s="208"/>
      <c r="BB84" s="208"/>
      <c r="BC84" s="70"/>
      <c r="BD84" s="71"/>
    </row>
    <row r="85" spans="1:56">
      <c r="A85" s="464"/>
      <c r="B85" s="416"/>
      <c r="C85" s="416"/>
      <c r="D85" s="11">
        <f t="shared" si="4"/>
        <v>0</v>
      </c>
      <c r="E85" s="11">
        <v>0</v>
      </c>
      <c r="F85" s="10" t="s">
        <v>99</v>
      </c>
      <c r="G85" s="28">
        <v>9</v>
      </c>
      <c r="H85" s="28">
        <f t="shared" si="5"/>
        <v>9</v>
      </c>
      <c r="I85" s="11"/>
      <c r="J85" s="24" t="s">
        <v>35</v>
      </c>
      <c r="K85" s="59"/>
      <c r="L85" s="59"/>
      <c r="M85" s="59"/>
      <c r="N85" s="274"/>
      <c r="O85" s="274"/>
      <c r="P85" s="59"/>
      <c r="Q85" s="59"/>
      <c r="R85" s="190"/>
      <c r="S85" s="190"/>
      <c r="T85" s="59"/>
      <c r="U85" s="59"/>
      <c r="V85" s="206"/>
      <c r="W85" s="206"/>
      <c r="X85" s="59"/>
      <c r="Y85" s="59"/>
      <c r="Z85" s="206"/>
      <c r="AA85" s="190"/>
      <c r="AB85" s="190"/>
      <c r="AC85" s="59"/>
      <c r="AD85" s="59"/>
      <c r="AE85" s="206"/>
      <c r="AF85" s="206"/>
      <c r="AG85" s="59"/>
      <c r="AH85" s="59"/>
      <c r="AI85" s="190"/>
      <c r="AJ85" s="190"/>
      <c r="AK85" s="206"/>
      <c r="AL85" s="206"/>
      <c r="AM85" s="206"/>
      <c r="AN85" s="206"/>
      <c r="AO85" s="59"/>
      <c r="AP85" s="206"/>
      <c r="AQ85" s="190"/>
      <c r="AR85" s="190"/>
      <c r="AS85" s="59"/>
      <c r="AT85" s="59"/>
      <c r="AU85" s="59"/>
      <c r="AV85" s="59"/>
      <c r="AW85" s="59"/>
      <c r="AX85" s="59"/>
      <c r="AY85" s="59"/>
      <c r="AZ85" s="266"/>
      <c r="BA85" s="59"/>
      <c r="BB85" s="59"/>
      <c r="BC85" s="59"/>
      <c r="BD85" s="72"/>
    </row>
    <row r="86" spans="1:56" ht="15.75" thickBot="1">
      <c r="A86" s="400"/>
      <c r="B86" s="402"/>
      <c r="C86" s="402"/>
      <c r="D86" s="20">
        <f t="shared" si="4"/>
        <v>0</v>
      </c>
      <c r="E86" s="20">
        <v>1</v>
      </c>
      <c r="F86" s="16" t="s">
        <v>99</v>
      </c>
      <c r="G86" s="29">
        <v>9</v>
      </c>
      <c r="H86" s="29">
        <f t="shared" si="5"/>
        <v>9</v>
      </c>
      <c r="I86" s="20"/>
      <c r="J86" s="26" t="s">
        <v>37</v>
      </c>
      <c r="K86" s="73"/>
      <c r="L86" s="73"/>
      <c r="M86" s="73"/>
      <c r="N86" s="272"/>
      <c r="O86" s="272"/>
      <c r="P86" s="73"/>
      <c r="Q86" s="73"/>
      <c r="R86" s="191"/>
      <c r="S86" s="191"/>
      <c r="T86" s="73"/>
      <c r="U86" s="73"/>
      <c r="V86" s="207"/>
      <c r="W86" s="207"/>
      <c r="X86" s="73"/>
      <c r="Y86" s="73"/>
      <c r="Z86" s="207"/>
      <c r="AA86" s="191"/>
      <c r="AB86" s="191"/>
      <c r="AC86" s="73"/>
      <c r="AD86" s="73"/>
      <c r="AE86" s="207"/>
      <c r="AF86" s="207"/>
      <c r="AG86" s="73"/>
      <c r="AH86" s="73"/>
      <c r="AI86" s="191"/>
      <c r="AJ86" s="191"/>
      <c r="AK86" s="207"/>
      <c r="AL86" s="207"/>
      <c r="AM86" s="207"/>
      <c r="AN86" s="207"/>
      <c r="AO86" s="73"/>
      <c r="AP86" s="207"/>
      <c r="AQ86" s="191"/>
      <c r="AR86" s="191"/>
      <c r="AS86" s="207"/>
      <c r="AT86" s="207"/>
      <c r="AU86" s="207"/>
      <c r="AV86" s="207"/>
      <c r="AW86" s="207"/>
      <c r="AX86" s="207"/>
      <c r="AY86" s="207"/>
      <c r="AZ86" s="267"/>
      <c r="BA86" s="207"/>
      <c r="BB86" s="207"/>
      <c r="BC86" s="73"/>
      <c r="BD86" s="74"/>
    </row>
    <row r="87" spans="1:56" ht="15.75" thickTop="1">
      <c r="A87" s="399" t="s">
        <v>290</v>
      </c>
      <c r="B87" s="401" t="s">
        <v>92</v>
      </c>
      <c r="C87" s="31"/>
      <c r="D87" s="19">
        <f t="shared" si="4"/>
        <v>0</v>
      </c>
      <c r="E87" s="19"/>
      <c r="F87" s="15" t="s">
        <v>36</v>
      </c>
      <c r="G87" s="27">
        <v>10</v>
      </c>
      <c r="H87" s="27">
        <f t="shared" ref="H87:H88" si="6">G87-SUM(K87:BB87)</f>
        <v>10</v>
      </c>
      <c r="I87" s="19"/>
      <c r="J87" s="23" t="s">
        <v>35</v>
      </c>
      <c r="K87" s="70"/>
      <c r="L87" s="70"/>
      <c r="M87" s="70"/>
      <c r="N87" s="273"/>
      <c r="O87" s="273"/>
      <c r="P87" s="70"/>
      <c r="Q87" s="70"/>
      <c r="R87" s="192"/>
      <c r="S87" s="192"/>
      <c r="T87" s="70"/>
      <c r="U87" s="70"/>
      <c r="V87" s="208"/>
      <c r="W87" s="208"/>
      <c r="X87" s="70"/>
      <c r="Y87" s="70"/>
      <c r="Z87" s="208"/>
      <c r="AA87" s="192"/>
      <c r="AB87" s="192"/>
      <c r="AC87" s="70"/>
      <c r="AD87" s="70"/>
      <c r="AE87" s="208"/>
      <c r="AF87" s="208"/>
      <c r="AG87" s="70"/>
      <c r="AH87" s="70"/>
      <c r="AI87" s="192"/>
      <c r="AJ87" s="192"/>
      <c r="AK87" s="208"/>
      <c r="AL87" s="208"/>
      <c r="AM87" s="208"/>
      <c r="AN87" s="208"/>
      <c r="AO87" s="70"/>
      <c r="AP87" s="208"/>
      <c r="AQ87" s="192"/>
      <c r="AR87" s="192"/>
      <c r="AS87" s="70"/>
      <c r="AT87" s="70"/>
      <c r="AU87" s="70"/>
      <c r="AV87" s="70"/>
      <c r="AW87" s="70"/>
      <c r="AX87" s="70"/>
      <c r="AY87" s="70"/>
      <c r="AZ87" s="268"/>
      <c r="BA87" s="70"/>
      <c r="BB87" s="70"/>
      <c r="BC87" s="70"/>
      <c r="BD87" s="71"/>
    </row>
    <row r="88" spans="1:56" ht="15.75" thickBot="1">
      <c r="A88" s="400"/>
      <c r="B88" s="402"/>
      <c r="C88" s="32"/>
      <c r="D88" s="20">
        <f t="shared" si="4"/>
        <v>0</v>
      </c>
      <c r="E88" s="20"/>
      <c r="F88" s="16" t="s">
        <v>36</v>
      </c>
      <c r="G88" s="29">
        <v>10</v>
      </c>
      <c r="H88" s="29">
        <f t="shared" si="6"/>
        <v>10</v>
      </c>
      <c r="I88" s="20"/>
      <c r="J88" s="26" t="s">
        <v>37</v>
      </c>
      <c r="K88" s="73"/>
      <c r="L88" s="73"/>
      <c r="M88" s="73"/>
      <c r="N88" s="272"/>
      <c r="O88" s="272"/>
      <c r="P88" s="73"/>
      <c r="Q88" s="73"/>
      <c r="R88" s="191"/>
      <c r="S88" s="191"/>
      <c r="T88" s="73"/>
      <c r="U88" s="73"/>
      <c r="V88" s="207"/>
      <c r="W88" s="207"/>
      <c r="X88" s="73"/>
      <c r="Y88" s="73"/>
      <c r="Z88" s="207"/>
      <c r="AA88" s="191"/>
      <c r="AB88" s="191"/>
      <c r="AC88" s="73"/>
      <c r="AD88" s="73"/>
      <c r="AE88" s="207"/>
      <c r="AF88" s="207"/>
      <c r="AG88" s="73"/>
      <c r="AH88" s="73"/>
      <c r="AI88" s="191"/>
      <c r="AJ88" s="191"/>
      <c r="AK88" s="207"/>
      <c r="AL88" s="207"/>
      <c r="AM88" s="207"/>
      <c r="AN88" s="207"/>
      <c r="AO88" s="73"/>
      <c r="AP88" s="207"/>
      <c r="AQ88" s="191"/>
      <c r="AR88" s="191"/>
      <c r="AS88" s="207"/>
      <c r="AT88" s="207"/>
      <c r="AU88" s="207"/>
      <c r="AV88" s="207"/>
      <c r="AW88" s="207"/>
      <c r="AX88" s="207"/>
      <c r="AY88" s="207"/>
      <c r="AZ88" s="267"/>
      <c r="BA88" s="207"/>
      <c r="BB88" s="207"/>
      <c r="BC88" s="73"/>
      <c r="BD88" s="74"/>
    </row>
    <row r="89" spans="1:56" ht="15.75" thickTop="1"/>
    <row r="90" spans="1:56">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row>
  </sheetData>
  <mergeCells count="108">
    <mergeCell ref="BE21:BG24"/>
    <mergeCell ref="BE43:BF46"/>
    <mergeCell ref="J31:J32"/>
    <mergeCell ref="A53:A56"/>
    <mergeCell ref="B53:B56"/>
    <mergeCell ref="C53:C56"/>
    <mergeCell ref="J53:J54"/>
    <mergeCell ref="A61:A62"/>
    <mergeCell ref="B61:B62"/>
    <mergeCell ref="C61:C62"/>
    <mergeCell ref="J61:J62"/>
    <mergeCell ref="A1:A5"/>
    <mergeCell ref="B1:B5"/>
    <mergeCell ref="C1:C5"/>
    <mergeCell ref="D1:D5"/>
    <mergeCell ref="E1:E5"/>
    <mergeCell ref="BC1:BD5"/>
    <mergeCell ref="F2:J2"/>
    <mergeCell ref="F3:J3"/>
    <mergeCell ref="I4:I5"/>
    <mergeCell ref="J4:J5"/>
    <mergeCell ref="A10:A13"/>
    <mergeCell ref="B10:B13"/>
    <mergeCell ref="A84:A86"/>
    <mergeCell ref="B84:B86"/>
    <mergeCell ref="A19:A20"/>
    <mergeCell ref="B19:B20"/>
    <mergeCell ref="A72:A75"/>
    <mergeCell ref="B72:B75"/>
    <mergeCell ref="A76:A79"/>
    <mergeCell ref="B76:B79"/>
    <mergeCell ref="A80:A81"/>
    <mergeCell ref="B80:B81"/>
    <mergeCell ref="B31:B34"/>
    <mergeCell ref="A14:A18"/>
    <mergeCell ref="B14:B18"/>
    <mergeCell ref="J6:J7"/>
    <mergeCell ref="J10:J11"/>
    <mergeCell ref="J25:J26"/>
    <mergeCell ref="C51:C52"/>
    <mergeCell ref="J14:J15"/>
    <mergeCell ref="J21:J22"/>
    <mergeCell ref="J27:J28"/>
    <mergeCell ref="J35:J36"/>
    <mergeCell ref="J43:J44"/>
    <mergeCell ref="C27:C30"/>
    <mergeCell ref="C35:C38"/>
    <mergeCell ref="J39:J40"/>
    <mergeCell ref="C21:C24"/>
    <mergeCell ref="C14:C15"/>
    <mergeCell ref="C16:C18"/>
    <mergeCell ref="C25:C26"/>
    <mergeCell ref="C10:C13"/>
    <mergeCell ref="C8:C9"/>
    <mergeCell ref="J8:J9"/>
    <mergeCell ref="C6:C7"/>
    <mergeCell ref="C19:C20"/>
    <mergeCell ref="J19:J20"/>
    <mergeCell ref="J51:J52"/>
    <mergeCell ref="J47:J48"/>
    <mergeCell ref="A6:A7"/>
    <mergeCell ref="B6:B7"/>
    <mergeCell ref="A57:A60"/>
    <mergeCell ref="B57:B60"/>
    <mergeCell ref="C72:C75"/>
    <mergeCell ref="A43:A46"/>
    <mergeCell ref="B43:B46"/>
    <mergeCell ref="C43:C46"/>
    <mergeCell ref="A51:A52"/>
    <mergeCell ref="B51:B52"/>
    <mergeCell ref="A8:A9"/>
    <mergeCell ref="B8:B9"/>
    <mergeCell ref="A67:A69"/>
    <mergeCell ref="B67:B69"/>
    <mergeCell ref="C67:C69"/>
    <mergeCell ref="A27:A30"/>
    <mergeCell ref="B27:B30"/>
    <mergeCell ref="A35:A38"/>
    <mergeCell ref="B35:B38"/>
    <mergeCell ref="A21:A24"/>
    <mergeCell ref="B21:B24"/>
    <mergeCell ref="A25:A26"/>
    <mergeCell ref="B25:B26"/>
    <mergeCell ref="A31:A34"/>
    <mergeCell ref="A87:A88"/>
    <mergeCell ref="B87:B88"/>
    <mergeCell ref="J57:J58"/>
    <mergeCell ref="J63:J64"/>
    <mergeCell ref="A82:A83"/>
    <mergeCell ref="B82:B83"/>
    <mergeCell ref="BE31:BH33"/>
    <mergeCell ref="A70:A71"/>
    <mergeCell ref="B70:B71"/>
    <mergeCell ref="C70:C71"/>
    <mergeCell ref="C57:C60"/>
    <mergeCell ref="A63:A66"/>
    <mergeCell ref="B63:B66"/>
    <mergeCell ref="C63:C66"/>
    <mergeCell ref="J70:J71"/>
    <mergeCell ref="C76:C79"/>
    <mergeCell ref="A47:A50"/>
    <mergeCell ref="B47:B50"/>
    <mergeCell ref="C47:C50"/>
    <mergeCell ref="A39:A42"/>
    <mergeCell ref="B39:B42"/>
    <mergeCell ref="C39:C42"/>
    <mergeCell ref="C84:C86"/>
    <mergeCell ref="C31:C3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55433-02EF-4031-975D-64DC6886D66B}">
  <dimension ref="A2:K41"/>
  <sheetViews>
    <sheetView topLeftCell="A14" zoomScale="85" zoomScaleNormal="85" workbookViewId="0">
      <selection activeCell="C42" sqref="C42"/>
    </sheetView>
  </sheetViews>
  <sheetFormatPr baseColWidth="10" defaultColWidth="11.42578125" defaultRowHeight="15"/>
  <cols>
    <col min="1" max="1" width="21.42578125" customWidth="1"/>
    <col min="2" max="2" width="18.85546875" customWidth="1"/>
    <col min="3" max="3" width="14.85546875" customWidth="1"/>
    <col min="5" max="5" width="12.85546875" customWidth="1"/>
    <col min="6" max="6" width="13" customWidth="1"/>
    <col min="7" max="7" width="35.140625" customWidth="1"/>
    <col min="8" max="8" width="29.42578125" style="308" customWidth="1"/>
    <col min="9" max="9" width="33.42578125" customWidth="1"/>
  </cols>
  <sheetData>
    <row r="2" spans="1:11">
      <c r="A2" s="2" t="s">
        <v>291</v>
      </c>
      <c r="B2" s="2" t="s">
        <v>1</v>
      </c>
      <c r="C2" s="2" t="s">
        <v>292</v>
      </c>
      <c r="D2" s="2" t="s">
        <v>293</v>
      </c>
      <c r="E2" s="2" t="s">
        <v>294</v>
      </c>
      <c r="F2" s="2" t="s">
        <v>295</v>
      </c>
      <c r="G2" s="2" t="s">
        <v>296</v>
      </c>
      <c r="H2" s="308" t="s">
        <v>297</v>
      </c>
      <c r="I2" s="2" t="s">
        <v>298</v>
      </c>
      <c r="J2" s="2" t="s">
        <v>299</v>
      </c>
      <c r="K2" s="2" t="s">
        <v>300</v>
      </c>
    </row>
    <row r="3" spans="1:11">
      <c r="A3" s="2" t="s">
        <v>301</v>
      </c>
      <c r="B3" s="2"/>
      <c r="C3" s="2" t="s">
        <v>97</v>
      </c>
      <c r="D3" s="2" t="s">
        <v>302</v>
      </c>
      <c r="E3" s="2" t="s">
        <v>303</v>
      </c>
      <c r="F3" s="2"/>
      <c r="G3" s="307" t="s">
        <v>304</v>
      </c>
      <c r="H3" s="310" t="s">
        <v>305</v>
      </c>
      <c r="I3" s="2"/>
      <c r="J3" s="2"/>
      <c r="K3" s="2" t="s">
        <v>306</v>
      </c>
    </row>
    <row r="4" spans="1:11" ht="15.75">
      <c r="A4" s="2" t="s">
        <v>307</v>
      </c>
      <c r="B4" s="2"/>
      <c r="C4" s="2" t="s">
        <v>202</v>
      </c>
      <c r="D4" s="2" t="s">
        <v>308</v>
      </c>
      <c r="E4" s="2" t="s">
        <v>303</v>
      </c>
      <c r="F4" s="2" t="s">
        <v>309</v>
      </c>
      <c r="G4" s="305" t="s">
        <v>310</v>
      </c>
      <c r="H4" s="309"/>
      <c r="I4" s="305" t="s">
        <v>311</v>
      </c>
      <c r="J4" s="304" t="s">
        <v>306</v>
      </c>
      <c r="K4" s="304" t="s">
        <v>306</v>
      </c>
    </row>
    <row r="5" spans="1:11" ht="15.75">
      <c r="A5" s="2" t="s">
        <v>312</v>
      </c>
      <c r="B5" s="2"/>
      <c r="C5" s="2" t="s">
        <v>174</v>
      </c>
      <c r="D5" s="2" t="s">
        <v>313</v>
      </c>
      <c r="E5" s="2" t="s">
        <v>303</v>
      </c>
      <c r="F5" s="2"/>
      <c r="G5" s="305" t="s">
        <v>314</v>
      </c>
      <c r="H5" s="309"/>
      <c r="I5" s="2"/>
      <c r="J5" s="304" t="s">
        <v>306</v>
      </c>
      <c r="K5" s="304" t="s">
        <v>306</v>
      </c>
    </row>
    <row r="6" spans="1:11">
      <c r="A6" s="2" t="s">
        <v>315</v>
      </c>
      <c r="B6" s="2"/>
      <c r="C6" s="2" t="s">
        <v>66</v>
      </c>
      <c r="D6" s="2" t="s">
        <v>316</v>
      </c>
      <c r="E6" s="2"/>
      <c r="F6" s="2"/>
      <c r="G6" s="307" t="s">
        <v>317</v>
      </c>
      <c r="H6" s="310"/>
      <c r="I6" s="2"/>
      <c r="J6" s="2" t="s">
        <v>306</v>
      </c>
      <c r="K6" s="2" t="s">
        <v>306</v>
      </c>
    </row>
    <row r="7" spans="1:11" ht="15.75" hidden="1">
      <c r="A7" t="s">
        <v>307</v>
      </c>
      <c r="C7" t="s">
        <v>318</v>
      </c>
      <c r="D7" t="s">
        <v>319</v>
      </c>
      <c r="E7" t="s">
        <v>320</v>
      </c>
      <c r="F7" t="s">
        <v>321</v>
      </c>
      <c r="G7" t="s">
        <v>322</v>
      </c>
      <c r="I7" t="s">
        <v>323</v>
      </c>
      <c r="J7" s="57" t="s">
        <v>306</v>
      </c>
      <c r="K7" s="57" t="s">
        <v>324</v>
      </c>
    </row>
    <row r="8" spans="1:11" ht="15.75" hidden="1">
      <c r="A8" s="2"/>
      <c r="B8" s="2"/>
      <c r="C8" s="2" t="s">
        <v>325</v>
      </c>
      <c r="D8" s="2" t="s">
        <v>326</v>
      </c>
      <c r="E8" s="2" t="s">
        <v>320</v>
      </c>
      <c r="F8" s="2"/>
      <c r="G8" s="305" t="s">
        <v>327</v>
      </c>
      <c r="H8" s="309"/>
      <c r="I8" s="2" t="s">
        <v>327</v>
      </c>
      <c r="J8" s="304" t="s">
        <v>306</v>
      </c>
      <c r="K8" s="304" t="s">
        <v>306</v>
      </c>
    </row>
    <row r="9" spans="1:11">
      <c r="A9" s="2" t="s">
        <v>328</v>
      </c>
      <c r="B9" s="2"/>
      <c r="C9" s="2" t="s">
        <v>165</v>
      </c>
      <c r="D9" s="2" t="s">
        <v>329</v>
      </c>
      <c r="E9" s="2"/>
      <c r="F9" s="2"/>
      <c r="G9" s="2"/>
      <c r="I9" s="2"/>
      <c r="J9" s="2"/>
      <c r="K9" s="2" t="s">
        <v>306</v>
      </c>
    </row>
    <row r="10" spans="1:11" ht="15.75">
      <c r="A10" s="2"/>
      <c r="B10" s="2"/>
      <c r="C10" s="2" t="s">
        <v>123</v>
      </c>
      <c r="D10" s="2" t="s">
        <v>330</v>
      </c>
      <c r="E10" s="2" t="s">
        <v>303</v>
      </c>
      <c r="F10" s="2"/>
      <c r="G10" s="305" t="s">
        <v>331</v>
      </c>
      <c r="H10" s="309"/>
      <c r="I10" s="2"/>
      <c r="J10" s="304" t="s">
        <v>306</v>
      </c>
      <c r="K10" s="304" t="s">
        <v>306</v>
      </c>
    </row>
    <row r="11" spans="1:11" ht="15.75" hidden="1">
      <c r="A11" t="s">
        <v>332</v>
      </c>
      <c r="C11" t="s">
        <v>333</v>
      </c>
      <c r="D11" t="s">
        <v>334</v>
      </c>
      <c r="E11" t="s">
        <v>320</v>
      </c>
      <c r="G11" s="58" t="s">
        <v>335</v>
      </c>
      <c r="H11" s="309"/>
      <c r="I11" t="s">
        <v>336</v>
      </c>
      <c r="J11" s="57" t="s">
        <v>324</v>
      </c>
      <c r="K11" s="57" t="s">
        <v>324</v>
      </c>
    </row>
    <row r="12" spans="1:11" ht="15.75">
      <c r="A12" s="2" t="s">
        <v>307</v>
      </c>
      <c r="B12" s="2"/>
      <c r="C12" s="2" t="s">
        <v>337</v>
      </c>
      <c r="D12" s="2" t="s">
        <v>338</v>
      </c>
      <c r="E12" s="2" t="s">
        <v>303</v>
      </c>
      <c r="F12" s="2" t="s">
        <v>309</v>
      </c>
      <c r="G12" s="2" t="s">
        <v>339</v>
      </c>
      <c r="I12" s="2"/>
      <c r="J12" s="304" t="s">
        <v>306</v>
      </c>
      <c r="K12" s="304" t="s">
        <v>306</v>
      </c>
    </row>
    <row r="13" spans="1:11" ht="15.75">
      <c r="A13" s="2" t="s">
        <v>303</v>
      </c>
      <c r="B13" s="2"/>
      <c r="C13" s="2" t="s">
        <v>89</v>
      </c>
      <c r="D13" s="2" t="s">
        <v>340</v>
      </c>
      <c r="E13" s="2" t="s">
        <v>303</v>
      </c>
      <c r="F13" s="2"/>
      <c r="G13" s="305" t="s">
        <v>341</v>
      </c>
      <c r="H13" s="309"/>
      <c r="I13" s="2"/>
      <c r="J13" s="304" t="s">
        <v>306</v>
      </c>
      <c r="K13" s="304" t="s">
        <v>306</v>
      </c>
    </row>
    <row r="14" spans="1:11" ht="15.75">
      <c r="A14" s="2" t="s">
        <v>312</v>
      </c>
      <c r="B14" s="2"/>
      <c r="C14" s="2" t="s">
        <v>173</v>
      </c>
      <c r="D14" s="2" t="s">
        <v>342</v>
      </c>
      <c r="E14" s="2" t="s">
        <v>303</v>
      </c>
      <c r="F14" s="2"/>
      <c r="G14" s="2" t="s">
        <v>343</v>
      </c>
      <c r="I14" s="2" t="s">
        <v>344</v>
      </c>
      <c r="J14" s="304" t="s">
        <v>306</v>
      </c>
      <c r="K14" s="304" t="s">
        <v>306</v>
      </c>
    </row>
    <row r="15" spans="1:11" ht="15.75" hidden="1">
      <c r="A15" t="s">
        <v>303</v>
      </c>
      <c r="C15" t="s">
        <v>345</v>
      </c>
      <c r="D15" t="s">
        <v>346</v>
      </c>
      <c r="E15" t="s">
        <v>320</v>
      </c>
      <c r="G15" t="s">
        <v>347</v>
      </c>
      <c r="J15" s="57" t="s">
        <v>98</v>
      </c>
      <c r="K15" s="57" t="s">
        <v>306</v>
      </c>
    </row>
    <row r="16" spans="1:11" ht="15.75">
      <c r="A16" s="2" t="s">
        <v>312</v>
      </c>
      <c r="B16" s="2"/>
      <c r="C16" s="2" t="s">
        <v>171</v>
      </c>
      <c r="D16" s="2" t="s">
        <v>348</v>
      </c>
      <c r="E16" s="2" t="s">
        <v>303</v>
      </c>
      <c r="F16" s="2"/>
      <c r="G16" s="2" t="s">
        <v>349</v>
      </c>
      <c r="I16" s="2"/>
      <c r="J16" s="304" t="s">
        <v>306</v>
      </c>
      <c r="K16" s="304" t="s">
        <v>306</v>
      </c>
    </row>
    <row r="17" spans="1:11" ht="15.75" hidden="1">
      <c r="A17" t="s">
        <v>350</v>
      </c>
      <c r="C17" t="s">
        <v>351</v>
      </c>
      <c r="D17" t="s">
        <v>352</v>
      </c>
      <c r="E17" t="s">
        <v>320</v>
      </c>
      <c r="G17" t="s">
        <v>353</v>
      </c>
      <c r="J17" s="57" t="s">
        <v>324</v>
      </c>
      <c r="K17" s="57" t="s">
        <v>306</v>
      </c>
    </row>
    <row r="18" spans="1:11" ht="15.75" hidden="1">
      <c r="A18" t="s">
        <v>354</v>
      </c>
      <c r="C18" t="s">
        <v>355</v>
      </c>
      <c r="D18" t="s">
        <v>356</v>
      </c>
      <c r="E18" t="s">
        <v>320</v>
      </c>
      <c r="G18" t="s">
        <v>357</v>
      </c>
      <c r="I18" t="s">
        <v>358</v>
      </c>
      <c r="J18" s="57" t="s">
        <v>98</v>
      </c>
      <c r="K18" s="57" t="s">
        <v>306</v>
      </c>
    </row>
    <row r="19" spans="1:11" ht="15.75">
      <c r="A19" s="2" t="s">
        <v>359</v>
      </c>
      <c r="B19" s="2"/>
      <c r="C19" s="2" t="s">
        <v>360</v>
      </c>
      <c r="D19" s="2" t="s">
        <v>361</v>
      </c>
      <c r="E19" s="2" t="s">
        <v>303</v>
      </c>
      <c r="F19" s="2" t="s">
        <v>362</v>
      </c>
      <c r="G19" s="305" t="s">
        <v>363</v>
      </c>
      <c r="H19" s="309"/>
      <c r="I19" s="2" t="s">
        <v>364</v>
      </c>
      <c r="J19" s="304" t="s">
        <v>306</v>
      </c>
      <c r="K19" s="304" t="s">
        <v>324</v>
      </c>
    </row>
    <row r="20" spans="1:11" ht="15.75" hidden="1">
      <c r="A20" t="s">
        <v>365</v>
      </c>
      <c r="C20" t="s">
        <v>366</v>
      </c>
      <c r="D20" t="s">
        <v>367</v>
      </c>
      <c r="E20" t="s">
        <v>320</v>
      </c>
      <c r="G20" t="s">
        <v>368</v>
      </c>
      <c r="J20" s="57" t="s">
        <v>324</v>
      </c>
      <c r="K20" s="57" t="s">
        <v>324</v>
      </c>
    </row>
    <row r="21" spans="1:11" ht="15.75">
      <c r="A21" s="2" t="s">
        <v>369</v>
      </c>
      <c r="B21" s="2"/>
      <c r="C21" s="2" t="s">
        <v>240</v>
      </c>
      <c r="D21" s="2" t="s">
        <v>370</v>
      </c>
      <c r="E21" s="2" t="s">
        <v>303</v>
      </c>
      <c r="F21" s="2"/>
      <c r="G21" s="2" t="s">
        <v>371</v>
      </c>
      <c r="H21" s="308" t="s">
        <v>372</v>
      </c>
      <c r="I21" s="2" t="s">
        <v>373</v>
      </c>
      <c r="J21" s="304" t="s">
        <v>324</v>
      </c>
      <c r="K21" s="304" t="s">
        <v>306</v>
      </c>
    </row>
    <row r="22" spans="1:11">
      <c r="A22" s="2" t="s">
        <v>374</v>
      </c>
      <c r="B22" s="2"/>
      <c r="C22" s="2" t="s">
        <v>109</v>
      </c>
      <c r="D22" s="2" t="s">
        <v>375</v>
      </c>
      <c r="E22" s="2"/>
      <c r="F22" s="2"/>
      <c r="G22" s="307" t="s">
        <v>376</v>
      </c>
      <c r="H22" s="308" t="s">
        <v>377</v>
      </c>
      <c r="I22" s="2"/>
      <c r="J22" s="2"/>
      <c r="K22" s="2" t="s">
        <v>306</v>
      </c>
    </row>
    <row r="23" spans="1:11" ht="15.75">
      <c r="A23" s="2" t="s">
        <v>378</v>
      </c>
      <c r="B23" s="2"/>
      <c r="C23" s="2" t="s">
        <v>262</v>
      </c>
      <c r="D23" s="2" t="s">
        <v>379</v>
      </c>
      <c r="E23" s="2" t="s">
        <v>303</v>
      </c>
      <c r="F23" s="2"/>
      <c r="G23" s="306" t="s">
        <v>380</v>
      </c>
      <c r="H23" s="311"/>
      <c r="I23" s="2"/>
      <c r="J23" s="304" t="s">
        <v>306</v>
      </c>
      <c r="K23" s="304" t="s">
        <v>306</v>
      </c>
    </row>
    <row r="24" spans="1:11" ht="15.75">
      <c r="A24" s="2" t="s">
        <v>307</v>
      </c>
      <c r="B24" s="2"/>
      <c r="C24" s="2" t="s">
        <v>57</v>
      </c>
      <c r="D24" s="2" t="s">
        <v>381</v>
      </c>
      <c r="E24" s="2" t="s">
        <v>303</v>
      </c>
      <c r="F24" s="2"/>
      <c r="G24" s="306" t="s">
        <v>382</v>
      </c>
      <c r="H24" s="311"/>
      <c r="I24" s="2"/>
      <c r="J24" s="304" t="s">
        <v>306</v>
      </c>
      <c r="K24" s="304" t="s">
        <v>306</v>
      </c>
    </row>
    <row r="25" spans="1:11" ht="15.75" hidden="1">
      <c r="C25" t="s">
        <v>383</v>
      </c>
      <c r="D25" t="s">
        <v>384</v>
      </c>
      <c r="E25" t="s">
        <v>320</v>
      </c>
      <c r="G25" s="58" t="s">
        <v>385</v>
      </c>
      <c r="H25" s="309"/>
      <c r="J25" s="57" t="s">
        <v>306</v>
      </c>
      <c r="K25" s="57" t="s">
        <v>324</v>
      </c>
    </row>
    <row r="26" spans="1:11" ht="15.75" hidden="1">
      <c r="C26" t="s">
        <v>386</v>
      </c>
      <c r="D26" t="s">
        <v>387</v>
      </c>
      <c r="E26" t="s">
        <v>320</v>
      </c>
      <c r="G26" t="s">
        <v>388</v>
      </c>
      <c r="J26" s="57" t="s">
        <v>324</v>
      </c>
      <c r="K26" s="57" t="s">
        <v>324</v>
      </c>
    </row>
    <row r="27" spans="1:11" ht="15.75" hidden="1">
      <c r="C27" t="s">
        <v>389</v>
      </c>
      <c r="D27" t="s">
        <v>390</v>
      </c>
      <c r="E27" t="s">
        <v>320</v>
      </c>
      <c r="G27" s="58" t="s">
        <v>391</v>
      </c>
      <c r="H27" s="309"/>
      <c r="J27" s="57" t="s">
        <v>324</v>
      </c>
      <c r="K27" s="57" t="s">
        <v>324</v>
      </c>
    </row>
    <row r="28" spans="1:11" ht="15.75">
      <c r="A28" s="2" t="s">
        <v>307</v>
      </c>
      <c r="B28" s="2"/>
      <c r="C28" s="2" t="s">
        <v>392</v>
      </c>
      <c r="D28" s="2" t="s">
        <v>393</v>
      </c>
      <c r="E28" s="2" t="s">
        <v>303</v>
      </c>
      <c r="F28" s="2" t="s">
        <v>362</v>
      </c>
      <c r="G28" s="305" t="s">
        <v>394</v>
      </c>
      <c r="H28" s="309"/>
      <c r="I28" s="2"/>
      <c r="J28" s="304" t="s">
        <v>306</v>
      </c>
      <c r="K28" s="304" t="s">
        <v>324</v>
      </c>
    </row>
    <row r="29" spans="1:11" ht="15.75" hidden="1">
      <c r="C29" t="s">
        <v>395</v>
      </c>
      <c r="D29" t="s">
        <v>396</v>
      </c>
      <c r="E29" t="s">
        <v>320</v>
      </c>
      <c r="G29" t="s">
        <v>397</v>
      </c>
      <c r="I29" t="s">
        <v>398</v>
      </c>
      <c r="J29" s="57" t="s">
        <v>324</v>
      </c>
      <c r="K29" s="57" t="s">
        <v>306</v>
      </c>
    </row>
    <row r="30" spans="1:11" ht="15.75">
      <c r="A30" s="2" t="s">
        <v>399</v>
      </c>
      <c r="B30" s="2"/>
      <c r="C30" s="2" t="s">
        <v>283</v>
      </c>
      <c r="D30" s="2" t="s">
        <v>400</v>
      </c>
      <c r="E30" s="2" t="s">
        <v>303</v>
      </c>
      <c r="F30" s="2"/>
      <c r="G30" s="305" t="s">
        <v>401</v>
      </c>
      <c r="H30" s="309" t="s">
        <v>402</v>
      </c>
      <c r="I30" s="306" t="s">
        <v>403</v>
      </c>
      <c r="J30" s="304" t="s">
        <v>306</v>
      </c>
      <c r="K30" s="304" t="s">
        <v>306</v>
      </c>
    </row>
    <row r="31" spans="1:11" ht="15.75">
      <c r="A31" s="2"/>
      <c r="B31" s="2"/>
      <c r="C31" s="2" t="s">
        <v>201</v>
      </c>
      <c r="D31" s="2" t="s">
        <v>404</v>
      </c>
      <c r="E31" s="2" t="s">
        <v>303</v>
      </c>
      <c r="F31" s="2" t="s">
        <v>309</v>
      </c>
      <c r="G31" s="305" t="s">
        <v>405</v>
      </c>
      <c r="H31" s="309" t="s">
        <v>406</v>
      </c>
      <c r="I31" s="2" t="s">
        <v>407</v>
      </c>
      <c r="J31" s="304" t="s">
        <v>306</v>
      </c>
      <c r="K31" s="304" t="s">
        <v>306</v>
      </c>
    </row>
    <row r="32" spans="1:11" ht="15.75" hidden="1">
      <c r="C32" t="s">
        <v>408</v>
      </c>
      <c r="D32" t="s">
        <v>409</v>
      </c>
      <c r="E32" t="s">
        <v>320</v>
      </c>
      <c r="G32" t="s">
        <v>410</v>
      </c>
      <c r="J32" s="57" t="s">
        <v>98</v>
      </c>
      <c r="K32" s="57" t="s">
        <v>306</v>
      </c>
    </row>
    <row r="33" spans="1:11" ht="15.75">
      <c r="A33" s="2" t="s">
        <v>411</v>
      </c>
      <c r="B33" s="2"/>
      <c r="C33" s="2" t="s">
        <v>273</v>
      </c>
      <c r="D33" s="2" t="s">
        <v>412</v>
      </c>
      <c r="E33" s="2" t="s">
        <v>303</v>
      </c>
      <c r="F33" s="2"/>
      <c r="G33" s="305" t="s">
        <v>413</v>
      </c>
      <c r="H33" s="309"/>
      <c r="I33" s="2"/>
      <c r="J33" s="304" t="s">
        <v>306</v>
      </c>
      <c r="K33" s="304" t="s">
        <v>306</v>
      </c>
    </row>
    <row r="34" spans="1:11" ht="15.75">
      <c r="A34" s="2"/>
      <c r="B34" s="2"/>
      <c r="C34" s="2" t="s">
        <v>414</v>
      </c>
      <c r="D34" s="2" t="s">
        <v>396</v>
      </c>
      <c r="E34" s="2" t="s">
        <v>303</v>
      </c>
      <c r="F34" s="2"/>
      <c r="G34" s="305" t="s">
        <v>415</v>
      </c>
      <c r="H34" s="309"/>
      <c r="I34" s="2" t="s">
        <v>415</v>
      </c>
      <c r="J34" s="304" t="s">
        <v>306</v>
      </c>
      <c r="K34" s="304" t="s">
        <v>324</v>
      </c>
    </row>
    <row r="35" spans="1:11" ht="15.75" hidden="1">
      <c r="C35" t="s">
        <v>416</v>
      </c>
      <c r="D35" t="s">
        <v>334</v>
      </c>
      <c r="E35" t="s">
        <v>320</v>
      </c>
      <c r="G35" s="58" t="s">
        <v>417</v>
      </c>
      <c r="H35" s="309"/>
      <c r="I35" t="s">
        <v>418</v>
      </c>
      <c r="J35" s="57" t="s">
        <v>98</v>
      </c>
      <c r="K35" s="57" t="s">
        <v>306</v>
      </c>
    </row>
    <row r="36" spans="1:11" hidden="1"/>
    <row r="37" spans="1:11" ht="15.75">
      <c r="A37" s="2"/>
      <c r="B37" s="2"/>
      <c r="C37" s="2" t="s">
        <v>156</v>
      </c>
      <c r="D37" s="2" t="s">
        <v>419</v>
      </c>
      <c r="E37" s="2" t="s">
        <v>303</v>
      </c>
      <c r="F37" s="2"/>
      <c r="G37" s="2" t="s">
        <v>420</v>
      </c>
      <c r="I37" s="2"/>
      <c r="J37" s="304" t="s">
        <v>306</v>
      </c>
      <c r="K37" s="304" t="s">
        <v>306</v>
      </c>
    </row>
    <row r="38" spans="1:11">
      <c r="A38" s="2" t="s">
        <v>421</v>
      </c>
      <c r="B38" s="2"/>
      <c r="C38" s="2" t="s">
        <v>75</v>
      </c>
      <c r="D38" s="2" t="s">
        <v>422</v>
      </c>
      <c r="E38" s="2" t="s">
        <v>303</v>
      </c>
      <c r="F38" s="2"/>
      <c r="G38" s="2" t="s">
        <v>423</v>
      </c>
      <c r="I38" s="2"/>
      <c r="J38" s="2" t="s">
        <v>306</v>
      </c>
      <c r="K38" s="2" t="s">
        <v>306</v>
      </c>
    </row>
    <row r="39" spans="1:11" ht="15.75">
      <c r="A39" s="2"/>
      <c r="B39" s="2"/>
      <c r="C39" s="2" t="s">
        <v>54</v>
      </c>
      <c r="D39" s="2" t="s">
        <v>424</v>
      </c>
      <c r="E39" s="2" t="s">
        <v>303</v>
      </c>
      <c r="F39" s="2" t="s">
        <v>362</v>
      </c>
      <c r="G39" s="2" t="s">
        <v>425</v>
      </c>
      <c r="I39" s="2" t="s">
        <v>426</v>
      </c>
      <c r="J39" s="304" t="s">
        <v>306</v>
      </c>
      <c r="K39" s="304" t="s">
        <v>306</v>
      </c>
    </row>
    <row r="40" spans="1:11">
      <c r="A40" s="2" t="s">
        <v>427</v>
      </c>
      <c r="B40" s="2"/>
      <c r="C40" s="2" t="s">
        <v>278</v>
      </c>
      <c r="D40" s="2" t="s">
        <v>428</v>
      </c>
      <c r="E40" s="2"/>
      <c r="F40" s="2"/>
      <c r="G40" s="2" t="s">
        <v>423</v>
      </c>
      <c r="I40" s="2"/>
      <c r="J40" s="2"/>
      <c r="K40" s="2" t="s">
        <v>306</v>
      </c>
    </row>
    <row r="41" spans="1:11">
      <c r="A41" t="s">
        <v>429</v>
      </c>
      <c r="C41" t="s">
        <v>254</v>
      </c>
      <c r="D41" t="s">
        <v>430</v>
      </c>
      <c r="G41" s="312" t="s">
        <v>431</v>
      </c>
      <c r="K41" t="s">
        <v>98</v>
      </c>
    </row>
  </sheetData>
  <hyperlinks>
    <hyperlink ref="I30" r:id="rId1" xr:uid="{E637443C-3FDD-488C-A733-EFAE36552DD5}"/>
    <hyperlink ref="G24" r:id="rId2" display="michael.ichanson@ac-nice.fr" xr:uid="{D5CCFDC8-1B3F-4976-97BB-9205F9D470FA}"/>
    <hyperlink ref="G23" r:id="rId3" xr:uid="{93510485-33D4-4E59-B4F0-C2F21E29AF4E}"/>
    <hyperlink ref="I4" r:id="rId4" xr:uid="{1EDAB7F3-4AF3-43F4-A07F-59859C34844D}"/>
    <hyperlink ref="G4" r:id="rId5" xr:uid="{9BE4AEA7-6B52-479A-BAB3-169EEE0E2392}"/>
    <hyperlink ref="G5" r:id="rId6" xr:uid="{6D44AD7C-902C-4AC2-AD25-7E503576EB66}"/>
    <hyperlink ref="G10" r:id="rId7" xr:uid="{B5709129-C609-4B5E-B85E-D2BC70C623D6}"/>
    <hyperlink ref="G8" r:id="rId8" xr:uid="{4EBA25FF-28FC-4D2F-9DAA-13E16E17B8B2}"/>
    <hyperlink ref="G13" r:id="rId9" xr:uid="{4D1F2E60-E197-4D1B-8526-3AA30C58C0AC}"/>
    <hyperlink ref="G11" r:id="rId10" xr:uid="{AA58EFF7-7417-4663-8487-349333CB0A53}"/>
    <hyperlink ref="G19" r:id="rId11" xr:uid="{C53B5A4C-D41D-4FB8-908F-C825E9941891}"/>
    <hyperlink ref="G35" r:id="rId12" xr:uid="{778B91E0-5A6A-48ED-ABD1-DD654C8A1A7C}"/>
    <hyperlink ref="G27" r:id="rId13" xr:uid="{197BEA1F-5711-45B8-BE52-34929C124A6E}"/>
    <hyperlink ref="G28" r:id="rId14" xr:uid="{48F8FA56-409D-482D-BBC1-01D6EB08B51C}"/>
    <hyperlink ref="G30" r:id="rId15" xr:uid="{E9A94896-2058-484F-A0F9-3A44D5F55BB8}"/>
    <hyperlink ref="G25" r:id="rId16" xr:uid="{F9C90AB8-C297-4026-AA8C-A09D87AE7618}"/>
    <hyperlink ref="G31" r:id="rId17" xr:uid="{816BFDE1-FA7F-4C67-8546-90CFF8BDD7C1}"/>
    <hyperlink ref="G33" r:id="rId18" xr:uid="{A07AC82A-FEFD-4EF3-B27E-EB058C1B319E}"/>
    <hyperlink ref="G34" r:id="rId19" xr:uid="{2C924730-284F-4555-8D82-DB10538AF443}"/>
    <hyperlink ref="G6" r:id="rId20" xr:uid="{74DF49D1-69BA-47F6-99FC-30D8D9B43CC4}"/>
    <hyperlink ref="G3" r:id="rId21" xr:uid="{D4410EBB-856F-47EB-95C8-C1F75FD29ADA}"/>
    <hyperlink ref="G22" r:id="rId22" xr:uid="{993F471A-5DD4-456B-8BAD-19190D78D61C}"/>
    <hyperlink ref="G41" r:id="rId23" xr:uid="{99166DF3-4E59-48DC-98C9-70B6479ABEBC}"/>
  </hyperlinks>
  <pageMargins left="0.7" right="0.7" top="0.75" bottom="0.75" header="0.3" footer="0.3"/>
  <tableParts count="1">
    <tablePart r:id="rId2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8581-D4A0-45FB-B7B1-FC814FA900B8}">
  <dimension ref="A1:Q82"/>
  <sheetViews>
    <sheetView topLeftCell="B1" workbookViewId="0">
      <selection activeCell="A31" sqref="A31:A82"/>
    </sheetView>
  </sheetViews>
  <sheetFormatPr baseColWidth="10" defaultColWidth="11.42578125" defaultRowHeight="15"/>
  <cols>
    <col min="1" max="1" width="65.42578125" style="2" customWidth="1"/>
    <col min="2" max="2" width="46.140625" style="2" customWidth="1"/>
    <col min="3" max="3" width="41.85546875" style="2" customWidth="1"/>
    <col min="4" max="4" width="20.7109375" style="2" customWidth="1"/>
    <col min="5" max="5" width="11.42578125" style="2"/>
    <col min="6" max="6" width="26.7109375" style="2" customWidth="1"/>
    <col min="7" max="7" width="18" style="2" customWidth="1"/>
    <col min="8" max="8" width="19.28515625" style="2" customWidth="1"/>
    <col min="9" max="11" width="11.42578125" style="2"/>
    <col min="12" max="12" width="18.5703125" style="2" customWidth="1"/>
    <col min="13" max="13" width="20.5703125" style="2" customWidth="1"/>
    <col min="14" max="14" width="20.85546875" style="2" customWidth="1"/>
  </cols>
  <sheetData>
    <row r="1" spans="1:17">
      <c r="A1" s="2" t="s">
        <v>109</v>
      </c>
      <c r="B1" s="2" t="s">
        <v>273</v>
      </c>
      <c r="C1" s="2" t="s">
        <v>75</v>
      </c>
      <c r="D1" s="2" t="s">
        <v>57</v>
      </c>
      <c r="E1" s="14" t="s">
        <v>432</v>
      </c>
      <c r="F1" s="14" t="s">
        <v>70</v>
      </c>
      <c r="G1" s="14" t="s">
        <v>123</v>
      </c>
      <c r="H1" s="2" t="s">
        <v>165</v>
      </c>
      <c r="I1" s="2" t="s">
        <v>156</v>
      </c>
      <c r="J1" s="2" t="s">
        <v>54</v>
      </c>
      <c r="K1" s="2" t="s">
        <v>201</v>
      </c>
      <c r="L1" s="2" t="s">
        <v>433</v>
      </c>
      <c r="M1" s="2" t="s">
        <v>434</v>
      </c>
      <c r="N1" s="2" t="s">
        <v>150</v>
      </c>
      <c r="O1" s="2" t="s">
        <v>435</v>
      </c>
      <c r="P1" s="2" t="s">
        <v>436</v>
      </c>
      <c r="Q1" s="2" t="s">
        <v>66</v>
      </c>
    </row>
    <row r="2" spans="1:17" ht="59.25" customHeight="1">
      <c r="A2" s="524" t="s">
        <v>437</v>
      </c>
      <c r="B2" s="524" t="s">
        <v>438</v>
      </c>
      <c r="C2" s="521" t="s">
        <v>439</v>
      </c>
      <c r="D2" s="521" t="s">
        <v>440</v>
      </c>
      <c r="E2" s="521" t="s">
        <v>441</v>
      </c>
      <c r="F2" s="521" t="s">
        <v>442</v>
      </c>
      <c r="G2" s="521" t="s">
        <v>443</v>
      </c>
      <c r="H2" s="521" t="s">
        <v>444</v>
      </c>
      <c r="I2" s="521" t="s">
        <v>445</v>
      </c>
      <c r="J2" s="521" t="s">
        <v>446</v>
      </c>
      <c r="K2" s="521" t="s">
        <v>447</v>
      </c>
      <c r="L2" s="521" t="s">
        <v>448</v>
      </c>
      <c r="M2" s="521" t="s">
        <v>449</v>
      </c>
      <c r="N2" s="521" t="s">
        <v>450</v>
      </c>
      <c r="O2" s="523" t="s">
        <v>451</v>
      </c>
      <c r="P2" s="522" t="s">
        <v>452</v>
      </c>
    </row>
    <row r="3" spans="1:17" ht="277.5" customHeight="1">
      <c r="A3" s="524"/>
      <c r="B3" s="525"/>
      <c r="C3" s="500"/>
      <c r="D3" s="500"/>
      <c r="E3" s="521"/>
      <c r="F3" s="521"/>
      <c r="G3" s="521"/>
      <c r="H3" s="500"/>
      <c r="I3" s="500"/>
      <c r="J3" s="521"/>
      <c r="K3" s="500"/>
      <c r="L3" s="521"/>
      <c r="M3" s="500"/>
      <c r="N3" s="521"/>
      <c r="O3" s="523"/>
      <c r="P3" s="522"/>
    </row>
    <row r="4" spans="1:17" ht="19.5" customHeight="1">
      <c r="A4" s="524"/>
      <c r="B4" s="525"/>
      <c r="C4" s="500"/>
      <c r="D4" s="500"/>
      <c r="E4" s="521"/>
      <c r="F4" s="521"/>
      <c r="G4" s="521"/>
      <c r="H4" s="500"/>
      <c r="I4" s="500"/>
      <c r="J4" s="521"/>
      <c r="K4" s="500"/>
      <c r="L4" s="521"/>
      <c r="M4" s="500"/>
      <c r="N4" s="521"/>
      <c r="O4" s="523"/>
      <c r="P4" s="522"/>
    </row>
    <row r="5" spans="1:17">
      <c r="A5" s="524"/>
      <c r="B5" s="525"/>
      <c r="C5" s="500"/>
      <c r="D5" s="500"/>
      <c r="E5" s="521"/>
      <c r="F5" s="521"/>
      <c r="G5" s="521"/>
      <c r="H5" s="500"/>
      <c r="I5" s="500"/>
      <c r="J5" s="521"/>
      <c r="K5" s="500"/>
      <c r="L5" s="521"/>
      <c r="M5" s="500"/>
      <c r="N5" s="521"/>
      <c r="O5" s="523"/>
      <c r="P5" s="522"/>
    </row>
    <row r="6" spans="1:17">
      <c r="A6" s="524"/>
      <c r="B6" s="525"/>
      <c r="C6" s="500"/>
      <c r="D6" s="500"/>
      <c r="E6" s="521"/>
      <c r="F6" s="521"/>
      <c r="G6" s="521"/>
      <c r="H6" s="500"/>
      <c r="I6" s="500"/>
      <c r="J6" s="521"/>
      <c r="K6" s="500"/>
      <c r="L6" s="521"/>
      <c r="M6" s="500"/>
      <c r="N6" s="521"/>
      <c r="O6" s="523"/>
      <c r="P6" s="522"/>
    </row>
    <row r="7" spans="1:17">
      <c r="A7" s="524"/>
      <c r="B7" s="525"/>
      <c r="C7" s="500"/>
      <c r="D7" s="500"/>
      <c r="E7" s="521"/>
      <c r="F7" s="521"/>
      <c r="G7" s="521"/>
      <c r="H7" s="500"/>
      <c r="I7" s="500"/>
      <c r="J7" s="521"/>
      <c r="K7" s="500"/>
      <c r="L7" s="521"/>
      <c r="M7" s="500"/>
      <c r="N7" s="521"/>
      <c r="O7" s="523"/>
      <c r="P7" s="522"/>
    </row>
    <row r="8" spans="1:17">
      <c r="A8" s="524"/>
      <c r="B8" s="525"/>
      <c r="C8" s="500"/>
      <c r="D8" s="500"/>
      <c r="E8" s="521"/>
      <c r="F8" s="521"/>
      <c r="G8" s="521"/>
      <c r="H8" s="500"/>
      <c r="I8" s="500"/>
      <c r="J8" s="521"/>
      <c r="K8" s="500"/>
      <c r="L8" s="521"/>
      <c r="M8" s="500"/>
      <c r="N8" s="521"/>
      <c r="O8" s="523"/>
      <c r="P8" s="522"/>
    </row>
    <row r="9" spans="1:17">
      <c r="A9" s="524"/>
      <c r="B9" s="525"/>
      <c r="C9" s="500"/>
      <c r="D9" s="500"/>
      <c r="E9" s="521"/>
      <c r="F9" s="521"/>
      <c r="G9" s="521"/>
      <c r="H9" s="500"/>
      <c r="I9" s="500"/>
      <c r="J9" s="521"/>
      <c r="K9" s="500"/>
      <c r="L9" s="521"/>
      <c r="M9" s="500"/>
      <c r="N9" s="521"/>
      <c r="O9" s="523"/>
      <c r="P9" s="522"/>
    </row>
    <row r="10" spans="1:17">
      <c r="A10" s="524"/>
      <c r="B10" s="525"/>
      <c r="C10" s="500"/>
      <c r="D10" s="500"/>
      <c r="E10" s="521"/>
      <c r="F10" s="521"/>
      <c r="G10" s="521"/>
      <c r="H10" s="500"/>
      <c r="I10" s="500"/>
      <c r="J10" s="521"/>
      <c r="K10" s="500"/>
      <c r="L10" s="521"/>
      <c r="M10" s="500"/>
      <c r="N10" s="521"/>
      <c r="O10" s="523"/>
      <c r="P10" s="522"/>
    </row>
    <row r="11" spans="1:17">
      <c r="A11" s="524"/>
      <c r="B11" s="525"/>
      <c r="C11" s="500"/>
      <c r="D11" s="500"/>
      <c r="E11" s="521"/>
      <c r="F11" s="521"/>
      <c r="G11" s="521"/>
      <c r="H11" s="500"/>
      <c r="I11" s="500"/>
      <c r="J11" s="521"/>
      <c r="K11" s="500"/>
      <c r="L11" s="521"/>
      <c r="M11" s="500"/>
      <c r="N11" s="521"/>
      <c r="O11" s="523"/>
      <c r="P11" s="522"/>
    </row>
    <row r="12" spans="1:17">
      <c r="A12" s="524"/>
      <c r="B12" s="525"/>
      <c r="C12" s="500"/>
      <c r="D12" s="500"/>
      <c r="E12" s="521"/>
      <c r="F12" s="521"/>
      <c r="G12" s="521"/>
      <c r="H12" s="500"/>
      <c r="I12" s="500"/>
      <c r="J12" s="521"/>
      <c r="K12" s="500"/>
      <c r="L12" s="521"/>
      <c r="M12" s="500"/>
      <c r="N12" s="521"/>
      <c r="O12" s="523"/>
      <c r="P12" s="522"/>
    </row>
    <row r="13" spans="1:17">
      <c r="A13" s="524"/>
      <c r="B13" s="525"/>
      <c r="C13" s="500"/>
      <c r="D13" s="500"/>
      <c r="E13" s="521"/>
      <c r="F13" s="521"/>
      <c r="G13" s="521"/>
      <c r="H13" s="500"/>
      <c r="I13" s="500"/>
      <c r="J13" s="521"/>
      <c r="K13" s="500"/>
      <c r="L13" s="521"/>
      <c r="M13" s="500"/>
      <c r="N13" s="521"/>
      <c r="O13" s="523"/>
      <c r="P13" s="522"/>
    </row>
    <row r="14" spans="1:17">
      <c r="A14" s="524"/>
      <c r="B14" s="525"/>
      <c r="C14" s="500"/>
      <c r="D14" s="500"/>
      <c r="E14" s="521"/>
      <c r="F14" s="521"/>
      <c r="G14" s="521"/>
      <c r="H14" s="500"/>
      <c r="I14" s="500"/>
      <c r="J14" s="521"/>
      <c r="K14" s="500"/>
      <c r="L14" s="521"/>
      <c r="M14" s="500"/>
      <c r="N14" s="521"/>
      <c r="O14" s="523"/>
      <c r="P14" s="522"/>
    </row>
    <row r="15" spans="1:17">
      <c r="A15" s="524"/>
      <c r="B15" s="525"/>
      <c r="C15" s="500"/>
      <c r="D15" s="500"/>
      <c r="E15" s="521"/>
      <c r="F15" s="521"/>
      <c r="G15" s="521"/>
      <c r="H15" s="500"/>
      <c r="I15" s="500"/>
      <c r="J15" s="521"/>
      <c r="K15" s="500"/>
      <c r="L15" s="521"/>
      <c r="M15" s="500"/>
      <c r="N15" s="521"/>
      <c r="P15" s="522"/>
    </row>
    <row r="16" spans="1:17">
      <c r="A16" s="524"/>
      <c r="B16" s="525"/>
      <c r="C16" s="500"/>
      <c r="D16" s="500"/>
      <c r="E16" s="521"/>
      <c r="F16" s="521"/>
      <c r="G16" s="521"/>
      <c r="H16" s="500"/>
      <c r="I16" s="500"/>
      <c r="J16" s="521"/>
      <c r="K16" s="500"/>
      <c r="L16" s="521"/>
      <c r="M16" s="500"/>
      <c r="N16" s="521"/>
      <c r="P16" s="522"/>
    </row>
    <row r="17" spans="1:14">
      <c r="A17" s="524"/>
      <c r="B17" s="525"/>
      <c r="C17" s="500"/>
      <c r="D17" s="500"/>
      <c r="E17" s="521"/>
      <c r="F17" s="521"/>
      <c r="G17" s="521"/>
      <c r="H17" s="500"/>
      <c r="I17" s="500"/>
      <c r="J17" s="521"/>
      <c r="K17" s="500"/>
      <c r="L17" s="521"/>
      <c r="M17" s="500"/>
      <c r="N17" s="521"/>
    </row>
    <row r="18" spans="1:14">
      <c r="A18" s="524"/>
      <c r="B18" s="525"/>
      <c r="C18" s="500"/>
      <c r="D18" s="500"/>
      <c r="E18" s="521"/>
      <c r="F18" s="521"/>
      <c r="G18" s="521"/>
      <c r="H18" s="500"/>
      <c r="I18" s="500"/>
      <c r="J18" s="521"/>
      <c r="K18" s="500"/>
      <c r="L18" s="521"/>
      <c r="M18" s="500"/>
      <c r="N18" s="521"/>
    </row>
    <row r="19" spans="1:14">
      <c r="A19" s="524"/>
      <c r="B19" s="525"/>
      <c r="C19" s="500"/>
      <c r="D19" s="500"/>
      <c r="E19" s="521"/>
      <c r="F19" s="521"/>
      <c r="G19" s="521"/>
      <c r="H19" s="500"/>
      <c r="I19" s="500"/>
      <c r="J19" s="521"/>
      <c r="K19" s="500"/>
      <c r="L19" s="521"/>
      <c r="M19" s="500"/>
      <c r="N19" s="521"/>
    </row>
    <row r="20" spans="1:14">
      <c r="A20" s="524"/>
      <c r="B20" s="525"/>
      <c r="C20" s="500"/>
      <c r="D20" s="500"/>
      <c r="E20" s="521"/>
      <c r="F20" s="521"/>
      <c r="G20" s="521"/>
      <c r="H20" s="500"/>
      <c r="I20" s="500"/>
      <c r="J20" s="521"/>
      <c r="K20" s="500"/>
      <c r="L20" s="521"/>
      <c r="M20" s="500"/>
      <c r="N20" s="521"/>
    </row>
    <row r="21" spans="1:14">
      <c r="A21" s="524"/>
      <c r="B21" s="525"/>
      <c r="C21" s="500"/>
      <c r="D21" s="500"/>
      <c r="E21" s="521"/>
      <c r="F21" s="521"/>
      <c r="G21" s="521"/>
      <c r="H21" s="500"/>
      <c r="I21" s="500"/>
      <c r="J21" s="521"/>
      <c r="K21" s="500"/>
      <c r="L21" s="521"/>
      <c r="M21" s="500"/>
      <c r="N21" s="521"/>
    </row>
    <row r="22" spans="1:14">
      <c r="A22" s="524"/>
      <c r="B22" s="525"/>
      <c r="C22" s="500"/>
      <c r="D22" s="500"/>
      <c r="E22" s="521"/>
      <c r="F22" s="521"/>
      <c r="G22" s="521"/>
      <c r="H22" s="500"/>
      <c r="I22" s="500"/>
      <c r="J22" s="521"/>
      <c r="K22" s="500"/>
      <c r="L22" s="521"/>
      <c r="M22" s="500"/>
      <c r="N22" s="521"/>
    </row>
    <row r="23" spans="1:14">
      <c r="A23" s="524"/>
      <c r="B23" s="525"/>
      <c r="C23" s="500"/>
      <c r="D23" s="500"/>
      <c r="E23" s="521"/>
      <c r="F23" s="521"/>
      <c r="G23" s="521"/>
      <c r="H23" s="500"/>
      <c r="I23" s="500"/>
      <c r="J23" s="521"/>
      <c r="K23" s="500"/>
      <c r="L23" s="521"/>
      <c r="M23" s="500"/>
      <c r="N23" s="521"/>
    </row>
    <row r="24" spans="1:14">
      <c r="A24" s="524"/>
      <c r="B24" s="525"/>
      <c r="C24" s="500"/>
      <c r="D24" s="500"/>
      <c r="E24" s="521"/>
      <c r="F24" s="521"/>
      <c r="G24" s="521"/>
      <c r="H24" s="500"/>
      <c r="I24" s="500"/>
      <c r="J24" s="521"/>
      <c r="K24" s="500"/>
      <c r="L24" s="521"/>
      <c r="M24" s="500"/>
      <c r="N24" s="521"/>
    </row>
    <row r="25" spans="1:14">
      <c r="A25" s="524"/>
      <c r="B25" s="525"/>
      <c r="C25" s="500"/>
      <c r="D25" s="500"/>
      <c r="E25" s="521"/>
      <c r="F25" s="521"/>
      <c r="G25" s="521"/>
      <c r="H25" s="500"/>
      <c r="I25" s="500"/>
      <c r="J25" s="521"/>
      <c r="K25" s="500"/>
      <c r="L25" s="521"/>
      <c r="M25" s="500"/>
      <c r="N25" s="521"/>
    </row>
    <row r="26" spans="1:14">
      <c r="A26" s="524"/>
      <c r="B26" s="525"/>
      <c r="C26" s="500"/>
      <c r="D26" s="500"/>
      <c r="E26" s="521"/>
      <c r="F26" s="521"/>
      <c r="G26" s="521"/>
      <c r="H26" s="500"/>
      <c r="I26" s="500"/>
      <c r="J26" s="521"/>
      <c r="K26" s="500"/>
      <c r="L26" s="521"/>
      <c r="M26" s="500"/>
      <c r="N26" s="521"/>
    </row>
    <row r="27" spans="1:14">
      <c r="A27" s="524"/>
      <c r="B27" s="525"/>
      <c r="C27" s="500"/>
      <c r="D27" s="500"/>
      <c r="E27" s="521"/>
      <c r="F27" s="521"/>
      <c r="G27" s="521"/>
      <c r="H27" s="500"/>
      <c r="I27" s="500"/>
      <c r="J27" s="521"/>
      <c r="K27" s="500"/>
      <c r="L27" s="521"/>
      <c r="M27" s="500"/>
      <c r="N27" s="521"/>
    </row>
    <row r="28" spans="1:14">
      <c r="A28" s="524"/>
      <c r="B28" s="525"/>
      <c r="C28" s="500"/>
      <c r="D28" s="500"/>
      <c r="E28" s="521"/>
      <c r="F28" s="521"/>
      <c r="G28" s="521"/>
      <c r="H28" s="500"/>
      <c r="I28" s="500"/>
      <c r="J28" s="521"/>
      <c r="K28" s="500"/>
      <c r="L28" s="521"/>
      <c r="M28" s="500"/>
      <c r="N28" s="521"/>
    </row>
    <row r="29" spans="1:14">
      <c r="A29" s="524"/>
      <c r="B29" s="525"/>
      <c r="C29" s="500"/>
      <c r="D29" s="500"/>
      <c r="E29" s="521"/>
      <c r="F29" s="521"/>
      <c r="G29" s="521"/>
      <c r="H29" s="500"/>
      <c r="I29" s="500"/>
      <c r="J29" s="521"/>
      <c r="K29" s="500"/>
      <c r="L29" s="521"/>
      <c r="M29" s="500"/>
      <c r="N29" s="521"/>
    </row>
    <row r="30" spans="1:14">
      <c r="A30" s="524"/>
      <c r="B30" s="525"/>
      <c r="C30" s="500"/>
      <c r="D30" s="500"/>
      <c r="E30" s="521"/>
      <c r="F30" s="521"/>
      <c r="G30" s="521"/>
      <c r="H30" s="500"/>
      <c r="I30" s="500"/>
      <c r="J30" s="521"/>
      <c r="K30" s="500"/>
      <c r="L30" s="521"/>
      <c r="M30" s="500"/>
      <c r="N30" s="521"/>
    </row>
    <row r="31" spans="1:14" ht="409.5" customHeight="1">
      <c r="A31" s="521" t="s">
        <v>453</v>
      </c>
    </row>
    <row r="32" spans="1:14">
      <c r="A32" s="521"/>
    </row>
    <row r="33" spans="1:1">
      <c r="A33" s="521"/>
    </row>
    <row r="34" spans="1:1">
      <c r="A34" s="521"/>
    </row>
    <row r="35" spans="1:1">
      <c r="A35" s="521"/>
    </row>
    <row r="36" spans="1:1">
      <c r="A36" s="521"/>
    </row>
    <row r="37" spans="1:1">
      <c r="A37" s="521"/>
    </row>
    <row r="38" spans="1:1">
      <c r="A38" s="521"/>
    </row>
    <row r="39" spans="1:1">
      <c r="A39" s="521"/>
    </row>
    <row r="40" spans="1:1">
      <c r="A40" s="521"/>
    </row>
    <row r="41" spans="1:1">
      <c r="A41" s="521"/>
    </row>
    <row r="42" spans="1:1">
      <c r="A42" s="521"/>
    </row>
    <row r="43" spans="1:1">
      <c r="A43" s="521"/>
    </row>
    <row r="44" spans="1:1">
      <c r="A44" s="521"/>
    </row>
    <row r="45" spans="1:1">
      <c r="A45" s="521"/>
    </row>
    <row r="46" spans="1:1">
      <c r="A46" s="521"/>
    </row>
    <row r="47" spans="1:1">
      <c r="A47" s="521"/>
    </row>
    <row r="48" spans="1:1">
      <c r="A48" s="521"/>
    </row>
    <row r="49" spans="1:1">
      <c r="A49" s="521"/>
    </row>
    <row r="50" spans="1:1">
      <c r="A50" s="521"/>
    </row>
    <row r="51" spans="1:1">
      <c r="A51" s="521"/>
    </row>
    <row r="52" spans="1:1">
      <c r="A52" s="521"/>
    </row>
    <row r="53" spans="1:1">
      <c r="A53" s="521"/>
    </row>
    <row r="54" spans="1:1">
      <c r="A54" s="521"/>
    </row>
    <row r="55" spans="1:1">
      <c r="A55" s="521"/>
    </row>
    <row r="56" spans="1:1">
      <c r="A56" s="521"/>
    </row>
    <row r="57" spans="1:1">
      <c r="A57" s="521"/>
    </row>
    <row r="58" spans="1:1">
      <c r="A58" s="521"/>
    </row>
    <row r="59" spans="1:1">
      <c r="A59" s="521"/>
    </row>
    <row r="60" spans="1:1">
      <c r="A60" s="521"/>
    </row>
    <row r="61" spans="1:1">
      <c r="A61" s="521"/>
    </row>
    <row r="62" spans="1:1">
      <c r="A62" s="521"/>
    </row>
    <row r="63" spans="1:1">
      <c r="A63" s="521"/>
    </row>
    <row r="64" spans="1:1">
      <c r="A64" s="521"/>
    </row>
    <row r="65" spans="1:1">
      <c r="A65" s="521"/>
    </row>
    <row r="66" spans="1:1">
      <c r="A66" s="521"/>
    </row>
    <row r="67" spans="1:1">
      <c r="A67" s="521"/>
    </row>
    <row r="68" spans="1:1">
      <c r="A68" s="521"/>
    </row>
    <row r="69" spans="1:1">
      <c r="A69" s="521"/>
    </row>
    <row r="70" spans="1:1">
      <c r="A70" s="521"/>
    </row>
    <row r="71" spans="1:1">
      <c r="A71" s="521"/>
    </row>
    <row r="72" spans="1:1">
      <c r="A72" s="521"/>
    </row>
    <row r="73" spans="1:1">
      <c r="A73" s="521"/>
    </row>
    <row r="74" spans="1:1">
      <c r="A74" s="521"/>
    </row>
    <row r="75" spans="1:1">
      <c r="A75" s="521"/>
    </row>
    <row r="76" spans="1:1">
      <c r="A76" s="521"/>
    </row>
    <row r="77" spans="1:1">
      <c r="A77" s="521"/>
    </row>
    <row r="78" spans="1:1">
      <c r="A78" s="521"/>
    </row>
    <row r="79" spans="1:1">
      <c r="A79" s="521"/>
    </row>
    <row r="80" spans="1:1">
      <c r="A80" s="521"/>
    </row>
    <row r="81" spans="1:1">
      <c r="A81" s="521"/>
    </row>
    <row r="82" spans="1:1">
      <c r="A82" s="521"/>
    </row>
  </sheetData>
  <mergeCells count="17">
    <mergeCell ref="I2:I30"/>
    <mergeCell ref="J2:J30"/>
    <mergeCell ref="K2:K30"/>
    <mergeCell ref="L2:L30"/>
    <mergeCell ref="A31:A82"/>
    <mergeCell ref="P2:P16"/>
    <mergeCell ref="O2:O14"/>
    <mergeCell ref="F2:F30"/>
    <mergeCell ref="A2:A30"/>
    <mergeCell ref="B2:B30"/>
    <mergeCell ref="C2:C30"/>
    <mergeCell ref="D2:D30"/>
    <mergeCell ref="E2:E30"/>
    <mergeCell ref="M2:M30"/>
    <mergeCell ref="N2:N30"/>
    <mergeCell ref="G2:G30"/>
    <mergeCell ref="H2:H3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D738-CD6D-457B-B307-7B626EE5CD4B}">
  <dimension ref="A1:B5"/>
  <sheetViews>
    <sheetView workbookViewId="0">
      <selection activeCell="A5" sqref="A5:C5"/>
    </sheetView>
  </sheetViews>
  <sheetFormatPr baseColWidth="10" defaultColWidth="11.42578125" defaultRowHeight="15"/>
  <sheetData>
    <row r="1" spans="1:2">
      <c r="A1" t="s">
        <v>454</v>
      </c>
    </row>
    <row r="4" spans="1:2">
      <c r="A4" t="s">
        <v>66</v>
      </c>
      <c r="B4" t="s">
        <v>455</v>
      </c>
    </row>
    <row r="5" spans="1:2">
      <c r="A5" t="s">
        <v>456</v>
      </c>
      <c r="B5" t="s">
        <v>457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S1+S2</vt:lpstr>
      <vt:lpstr>S3+S4</vt:lpstr>
      <vt:lpstr>S5+S6</vt:lpstr>
      <vt:lpstr>Contact Vacataire</vt:lpstr>
      <vt:lpstr>Dispo</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Mathieu RICHIER</dc:creator>
  <cp:keywords/>
  <dc:description/>
  <cp:lastModifiedBy>Mathieu RICHIER</cp:lastModifiedBy>
  <cp:revision/>
  <dcterms:created xsi:type="dcterms:W3CDTF">2024-06-26T11:57:09Z</dcterms:created>
  <dcterms:modified xsi:type="dcterms:W3CDTF">2026-03-10T08:22:23Z</dcterms:modified>
  <cp:category/>
  <cp:contentStatus/>
</cp:coreProperties>
</file>